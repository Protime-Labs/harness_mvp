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ecision Matrix" sheetId="2" state="visible" r:id="rId4"/>
  </sheets>
  <definedNames>
    <definedName function="false" hidden="true" localSheetId="1" name="_xlnm._FilterDatabase" vbProcedure="false">'Decision Matrix'!$A$1:$J$67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<sst xmlns="http://schemas.openxmlformats.org/spreadsheetml/2006/main" count="496" uniqueCount="308">
  <si>
    <t xml:space="preserve">H200 Inference Platform — Decision Matrix</t>
  </si>
  <si>
    <t xml:space="preserve">One row per decision point. Fill yellow cells (Owner, Required By, Decision/Notes, Status) in the Decision Matrix tab. Status counts below update automatically.</t>
  </si>
  <si>
    <t xml:space="preserve">Status Tracker</t>
  </si>
  <si>
    <t xml:space="preserve">Status</t>
  </si>
  <si>
    <t xml:space="preserve">Count</t>
  </si>
  <si>
    <t xml:space="preserve">Open</t>
  </si>
  <si>
    <t xml:space="preserve">In Progress</t>
  </si>
  <si>
    <t xml:space="preserve">Decided</t>
  </si>
  <si>
    <t xml:space="preserve">Deferred</t>
  </si>
  <si>
    <t xml:space="preserve">Total decisions</t>
  </si>
  <si>
    <t xml:space="preserve">Decision Tiers (sequencing)</t>
  </si>
  <si>
    <t xml:space="preserve">1 - Blocks sizing</t>
  </si>
  <si>
    <t xml:space="preserve">Resolve first: workload definition (1.x), data classification (7.1), facility power/cooling (8.1-8.3), decision ownership (11.4)</t>
  </si>
  <si>
    <t xml:space="preserve">2 - Blocks quoting</t>
  </si>
  <si>
    <t xml:space="preserve">Resolve second: SXM vs PCIe (2.1), 4x vs 8x (2.5), OEM (3.1), serving stack licensing (4.1), fabric (5.1-5.2)</t>
  </si>
  <si>
    <t xml:space="preserve">3 - Blocks deployment</t>
  </si>
  <si>
    <t xml:space="preserve">Resolve before go-live: security controls, operations model, governance</t>
  </si>
  <si>
    <t xml:space="preserve">P - Parallel track</t>
  </si>
  <si>
    <t xml:space="preserve">Lead-time orders (10.3) can proceed once Tier 2 closes, in parallel with Tier 3</t>
  </si>
  <si>
    <t xml:space="preserve">How to use</t>
  </si>
  <si>
    <t xml:space="preserve">Yellow cells are the only cells to edit: Owner, Required By, Decision / Notes, Status (dropdown: Open / In Progress / Decided / Deferred).</t>
  </si>
  <si>
    <t xml:space="preserve">Use the filter row on the Decision Matrix tab to run working sessions by Domain or Tier.</t>
  </si>
  <si>
    <t xml:space="preserve">Example row format - Owner: 'J. Smith (CSO AI)', Required By: '2026-08-01', Decision/Notes: '4x H200 SXM confirmed; 70B FP8 primary target'.</t>
  </si>
  <si>
    <t xml:space="preserve">Three questions that constrain everything else: largest model x precision x context x concurrency (1.1-1.4); data classification ceiling (7.1); validated kW per rack (8.1).</t>
  </si>
  <si>
    <t xml:space="preserve">ID</t>
  </si>
  <si>
    <t xml:space="preserve">Domain</t>
  </si>
  <si>
    <t xml:space="preserve">Decision Point</t>
  </si>
  <si>
    <t xml:space="preserve">Options / Considerations</t>
  </si>
  <si>
    <t xml:space="preserve">Why It Matters</t>
  </si>
  <si>
    <t xml:space="preserve">Tier</t>
  </si>
  <si>
    <t xml:space="preserve">Owner</t>
  </si>
  <si>
    <t xml:space="preserve">Required By</t>
  </si>
  <si>
    <t xml:space="preserve">Decision / Notes</t>
  </si>
  <si>
    <t xml:space="preserve">1.1</t>
  </si>
  <si>
    <t xml:space="preserve">1. Workload Definition</t>
  </si>
  <si>
    <t xml:space="preserve">Target model size(s)</t>
  </si>
  <si>
    <t xml:space="preserve">7B / 14B / 32B / 70B / 100B+ / MoE</t>
  </si>
  <si>
    <t xml:space="preserve">Drives GPU count per node, HBM requirement, and whether 4x H200 (564GB HBM) fits one model replica</t>
  </si>
  <si>
    <t xml:space="preserve">1.2</t>
  </si>
  <si>
    <t xml:space="preserve">Precision / quantization policy</t>
  </si>
  <si>
    <t xml:space="preserve">BF16/FP16, FP8, INT8, INT4 (AWQ/GPTQ)</t>
  </si>
  <si>
    <t xml:space="preserve">FP8 on H200 roughly doubles effective capacity vs BF16; decides how many models fit per node</t>
  </si>
  <si>
    <t xml:space="preserve">1.3</t>
  </si>
  <si>
    <t xml:space="preserve">Maximum context length</t>
  </si>
  <si>
    <t xml:space="preserve">8K / 32K / 128K / 200K+</t>
  </si>
  <si>
    <t xml:space="preserve">KV cache is the hidden memory consumer; 128K contexts at concurrency can exceed the weights' HBM footprint</t>
  </si>
  <si>
    <t xml:space="preserve">1.4</t>
  </si>
  <si>
    <t xml:space="preserve">Concurrent users / sessions</t>
  </si>
  <si>
    <t xml:space="preserve">Define P50 / P95 / peak</t>
  </si>
  <si>
    <t xml:space="preserve">Determines batch scheduling headroom, tokens/sec targets, and Phase 2 trigger point</t>
  </si>
  <si>
    <t xml:space="preserve">1.5</t>
  </si>
  <si>
    <t xml:space="preserve">Throughput target</t>
  </si>
  <si>
    <t xml:space="preserve">Aggregate tokens/sec; per-request tokens/sec</t>
  </si>
  <si>
    <t xml:space="preserve">Primary sizing metric for vLLM / TensorRT-LLM benchmarks; validates 4x vs 8x per node</t>
  </si>
  <si>
    <t xml:space="preserve">1.6</t>
  </si>
  <si>
    <t xml:space="preserve">Latency SLA</t>
  </si>
  <si>
    <t xml:space="preserve">Time-to-first-token; inter-token latency; total request time</t>
  </si>
  <si>
    <t xml:space="preserve">Streaming chat vs batch summarization drive different scheduler and GPU allocation choices</t>
  </si>
  <si>
    <t xml:space="preserve">1.7</t>
  </si>
  <si>
    <t xml:space="preserve">Models resident simultaneously</t>
  </si>
  <si>
    <t xml:space="preserve">1 / 2-4 / model fleet</t>
  </si>
  <si>
    <t xml:space="preserve">Multi-model serving may justify MIG partitioning or dedicated nodes per model class</t>
  </si>
  <si>
    <t xml:space="preserve">1.8</t>
  </si>
  <si>
    <t xml:space="preserve">Workload mix</t>
  </si>
  <si>
    <t xml:space="preserve">Chat, RAG, agentic tool-calling, embeddings, reranking, batch, fine-tuning</t>
  </si>
  <si>
    <t xml:space="preserve">Agentic workloads multiply request volume per user action; fine-tuning changes the platform entirely</t>
  </si>
  <si>
    <t xml:space="preserve">1.9</t>
  </si>
  <si>
    <t xml:space="preserve">RAG scope</t>
  </si>
  <si>
    <t xml:space="preserve">Document volume, ingest rate, embedding model, reranker, vector DB choice/placement</t>
  </si>
  <si>
    <t xml:space="preserve">Decides whether an auxiliary GPU tier (L40S/L4) offloads embeddings/reranking from H200s</t>
  </si>
  <si>
    <t xml:space="preserve">1.10</t>
  </si>
  <si>
    <t xml:space="preserve">Availability requirement</t>
  </si>
  <si>
    <t xml:space="preserve">Pilot / business hours / 24x7 SLA</t>
  </si>
  <si>
    <t xml:space="preserve">Drives HA everywhere: firewall pair, redundant ToR, N+1 nodes, backup power</t>
  </si>
  <si>
    <t xml:space="preserve">1.11</t>
  </si>
  <si>
    <t xml:space="preserve">Growth horizon</t>
  </si>
  <si>
    <t xml:space="preserve">Single node / rack scale / cluster scale over 12-36 months</t>
  </si>
  <si>
    <t xml:space="preserve">Decides whether Phase 1 network and rack choices must already be Phase 3-capable</t>
  </si>
  <si>
    <t xml:space="preserve">2.1</t>
  </si>
  <si>
    <t xml:space="preserve">2. GPU Platform</t>
  </si>
  <si>
    <t xml:space="preserve">SXM vs PCIe H200</t>
  </si>
  <si>
    <t xml:space="preserve">SXM (NVLink/NVSwitch, HGX chassis) vs PCIe (cheaper, flexible)</t>
  </si>
  <si>
    <t xml:space="preserve">If any single model exceeds one GPU's HBM after quantization, SXM/NVLink is effectively required</t>
  </si>
  <si>
    <t xml:space="preserve">2.2</t>
  </si>
  <si>
    <t xml:space="preserve">GPU tiering</t>
  </si>
  <si>
    <t xml:space="preserve">H200 capacity tier only vs H200 + auxiliary L40S/L4 utility tier</t>
  </si>
  <si>
    <t xml:space="preserve">Offloading embeddings/rerankers/routing preserves H200 cycles for large-model inference</t>
  </si>
  <si>
    <t xml:space="preserve">2.3</t>
  </si>
  <si>
    <t xml:space="preserve">H200 now vs B200/GB200 later</t>
  </si>
  <si>
    <t xml:space="preserve">Buy H200 now; wait for B200; hybrid refresh posture</t>
  </si>
  <si>
    <t xml:space="preserve">Allocation lead times vs project urgency; define whether Phase 1 H200s redeploy as utility tier at refresh</t>
  </si>
  <si>
    <t xml:space="preserve">2.4</t>
  </si>
  <si>
    <t xml:space="preserve">GPU partitioning strategy</t>
  </si>
  <si>
    <t xml:space="preserve">MIG/vGPU partitioning vs full GPUs with serving-layer isolation</t>
  </si>
  <si>
    <t xml:space="preserve">Affects multi-tenancy, chargeback granularity, and driver/licensing choices</t>
  </si>
  <si>
    <t xml:space="preserve">2.5</t>
  </si>
  <si>
    <t xml:space="preserve">4x vs 8x GPUs per node</t>
  </si>
  <si>
    <t xml:space="preserve">4x (smaller failure domain) vs 8x (max NVLink domain, density)</t>
  </si>
  <si>
    <t xml:space="preserve">8x doubles per-node power/cooling and blast radius on node failure</t>
  </si>
  <si>
    <t xml:space="preserve">3.1</t>
  </si>
  <si>
    <t xml:space="preserve">3. Server Platform &amp; Vendor</t>
  </si>
  <si>
    <t xml:space="preserve">OEM selection</t>
  </si>
  <si>
    <t xml:space="preserve">Dell XE9680-class / HPE / Lenovo / Supermicro / NVIDIA-certified whitebox</t>
  </si>
  <si>
    <t xml:space="preserve">Approved-vendor list, support relationships, BMC fit with DCIM tooling, lead time</t>
  </si>
  <si>
    <t xml:space="preserve">3.2</t>
  </si>
  <si>
    <t xml:space="preserve">Support contract tier</t>
  </si>
  <si>
    <t xml:space="preserve">4-hr mission critical vs NBD; on-site GPU spares; contract holder</t>
  </si>
  <si>
    <t xml:space="preserve">GPUs are the long-lead FRU; contract holder decision (AT&amp;T vs integrator) affects SLA chain</t>
  </si>
  <si>
    <t xml:space="preserve">3.3</t>
  </si>
  <si>
    <t xml:space="preserve">CPU platform and RAM sizing</t>
  </si>
  <si>
    <t xml:space="preserve">AMD EPYC vs Intel Xeon; 1TB vs 2TB ECC</t>
  </si>
  <si>
    <t xml:space="preserve">PCIe lane budget for NICs+NVMe and NUMA topology; RAM should follow RAG/preprocessing need, not default to max</t>
  </si>
  <si>
    <t xml:space="preserve">3.4</t>
  </si>
  <si>
    <t xml:space="preserve">Warranty / lifecycle alignment</t>
  </si>
  <si>
    <t xml:space="preserve">3 vs 5 year</t>
  </si>
  <si>
    <t xml:space="preserve">Must align with Phase 3 refresh assumptions</t>
  </si>
  <si>
    <t xml:space="preserve">4.1</t>
  </si>
  <si>
    <t xml:space="preserve">4. Serving &amp; Software Stack</t>
  </si>
  <si>
    <t xml:space="preserve">Inference engine</t>
  </si>
  <si>
    <t xml:space="preserve">vLLM / TensorRT-LLM / NVIDIA NIM / Triton front-end</t>
  </si>
  <si>
    <t xml:space="preserve">NIM requires NVIDIA AI Enterprise (per-GPU per-year licensing) - materially changes TCO; decide early</t>
  </si>
  <si>
    <t xml:space="preserve">4.2</t>
  </si>
  <si>
    <t xml:space="preserve">Orchestration</t>
  </si>
  <si>
    <t xml:space="preserve">Bare-metal services (Phase 1) vs Kubernetes day one; which K8s distribution</t>
  </si>
  <si>
    <t xml:space="preserve">Alignment with AT&amp;T container platform standards (OpenShift etc.); GPU Operator support</t>
  </si>
  <si>
    <t xml:space="preserve">4.3</t>
  </si>
  <si>
    <t xml:space="preserve">Model registry &amp; artifact management</t>
  </si>
  <si>
    <t xml:space="preserve">Registry choice; promotion/rollback workflow; version pinning</t>
  </si>
  <si>
    <t xml:space="preserve">Operational control and supply-chain security control (see 7.6)</t>
  </si>
  <si>
    <t xml:space="preserve">4.4</t>
  </si>
  <si>
    <t xml:space="preserve">API gateway / access pattern</t>
  </si>
  <si>
    <t xml:space="preserve">OpenAI-compatible surface; rate limiting; per-team keys; quotas</t>
  </si>
  <si>
    <t xml:space="preserve">Defines integration contract for consuming teams and metering for chargeback (9.5)</t>
  </si>
  <si>
    <t xml:space="preserve">4.5</t>
  </si>
  <si>
    <t xml:space="preserve">OS / driver baseline &amp; patching</t>
  </si>
  <si>
    <t xml:space="preserve">RHEL vs Ubuntu LTS; CUDA/driver pinning; maintenance windows</t>
  </si>
  <si>
    <t xml:space="preserve">GPU driver updates are disruptive; define cadence and windows now</t>
  </si>
  <si>
    <t xml:space="preserve">4.6</t>
  </si>
  <si>
    <t xml:space="preserve">User-facing portal</t>
  </si>
  <si>
    <t xml:space="preserve">API-only vs Open WebUI vs internal portal; SSO/Entra ID integration</t>
  </si>
  <si>
    <t xml:space="preserve">Decides identity integration requirements at day one</t>
  </si>
  <si>
    <t xml:space="preserve">5.1</t>
  </si>
  <si>
    <t xml:space="preserve">5. Network Fabric</t>
  </si>
  <si>
    <t xml:space="preserve">Ethernet vs InfiniBand cluster fabric</t>
  </si>
  <si>
    <t xml:space="preserve">100/200GbE RoCE vs InfiniBand</t>
  </si>
  <si>
    <t xml:space="preserve">Inference-only usually fits Ethernet and is operationally simpler; IB only if multi-node tensor parallelism or training is in scope. Biggest Phase 2/3 fork</t>
  </si>
  <si>
    <t xml:space="preserve">5.2</t>
  </si>
  <si>
    <t xml:space="preserve">Speed tier per phase</t>
  </si>
  <si>
    <t xml:space="preserve">100GbE Phase 1; 200/400GbE Phase 2+; 400GbE-capable ToR from day one?</t>
  </si>
  <si>
    <t xml:space="preserve">Avoids rip-and-replace of Phase 1 switching at Phase 2</t>
  </si>
  <si>
    <t xml:space="preserve">5.3</t>
  </si>
  <si>
    <t xml:space="preserve">Integration vs standalone fabric</t>
  </si>
  <si>
    <t xml:space="preserve">Plug into existing spine/leaf (EVPN/VXLAN) vs isolated pod with controlled uplinks</t>
  </si>
  <si>
    <t xml:space="preserve">Governs switch vendor, config standards, and network review timeline</t>
  </si>
  <si>
    <t xml:space="preserve">5.4</t>
  </si>
  <si>
    <t xml:space="preserve">Switch redundancy model</t>
  </si>
  <si>
    <t xml:space="preserve">MLAG/redundant ToR from Phase 1 vs accepted single-switch pilot risk</t>
  </si>
  <si>
    <t xml:space="preserve">Availability requirement (1.10) flows directly into this</t>
  </si>
  <si>
    <t xml:space="preserve">5.5</t>
  </si>
  <si>
    <t xml:space="preserve">Storage network separation</t>
  </si>
  <si>
    <t xml:space="preserve">Shared fabric with QoS vs dedicated storage VLAN/fabric</t>
  </si>
  <si>
    <t xml:space="preserve">70B model pull is 100GB+ per node; decide if it shares the inference path</t>
  </si>
  <si>
    <t xml:space="preserve">5.6</t>
  </si>
  <si>
    <t xml:space="preserve">Switch vendor</t>
  </si>
  <si>
    <t xml:space="preserve">AT&amp;T network standards (Cisco-heavy) vs Arista/NVIDIA Spectrum</t>
  </si>
  <si>
    <t xml:space="preserve">Approved-vendor fit likely governs</t>
  </si>
  <si>
    <t xml:space="preserve">6.1</t>
  </si>
  <si>
    <t xml:space="preserve">6. Storage &amp; Data</t>
  </si>
  <si>
    <t xml:space="preserve">Local-only vs shared storage trigger</t>
  </si>
  <si>
    <t xml:space="preserve">Phase 1 local NVMe; define Phase 2 trigger for shared storage</t>
  </si>
  <si>
    <t xml:space="preserve">Multi-node model repo, shared vector DB, and corpus growth force the transition</t>
  </si>
  <si>
    <t xml:space="preserve">6.2</t>
  </si>
  <si>
    <t xml:space="preserve">Shared storage class</t>
  </si>
  <si>
    <t xml:space="preserve">NFS all-flash vs S3-compatible object vs parallel FS</t>
  </si>
  <si>
    <t xml:space="preserve">Inference mostly needs fast sequential reads for model loads; object + local NVMe cache often suffices</t>
  </si>
  <si>
    <t xml:space="preserve">6.3</t>
  </si>
  <si>
    <t xml:space="preserve">Vector DB selection &amp; placement</t>
  </si>
  <si>
    <t xml:space="preserve">On GPU nodes vs dedicated VMs vs existing enterprise data platform</t>
  </si>
  <si>
    <t xml:space="preserve">Ties into broader data-plane vendor evaluation (lakehouse/analytics platform vs purpose-built vector DB)</t>
  </si>
  <si>
    <t xml:space="preserve">6.4</t>
  </si>
  <si>
    <t xml:space="preserve">Capacity plan (30TB vs 100TB usable)</t>
  </si>
  <si>
    <t xml:space="preserve">Enumerate model cache, corpus (raw+chunked), embeddings, log/audit retention</t>
  </si>
  <si>
    <t xml:space="preserve">Prompt/completion retention is a legal/compliance decision, not just storage</t>
  </si>
  <si>
    <t xml:space="preserve">6.5</t>
  </si>
  <si>
    <t xml:space="preserve">Backup &amp; DR posture</t>
  </si>
  <si>
    <t xml:space="preserve">Backup scope (vector DB, configs, audit logs); RPO/RTO; second-site DR?</t>
  </si>
  <si>
    <t xml:space="preserve">Models are re-downloadable; the state around them is not</t>
  </si>
  <si>
    <t xml:space="preserve">7.1</t>
  </si>
  <si>
    <t xml:space="preserve">7. Security &amp; Compliance</t>
  </si>
  <si>
    <t xml:space="preserve">Data classification ceiling</t>
  </si>
  <si>
    <t xml:space="preserve">Highest classification permitted (customer data? CPNI? regulated data?)</t>
  </si>
  <si>
    <t xml:space="preserve">Single answer that drives isolation depth, encryption, audit scope, and review timeline. Likely the longest pole</t>
  </si>
  <si>
    <t xml:space="preserve">7.2</t>
  </si>
  <si>
    <t xml:space="preserve">Tenant / team isolation model</t>
  </si>
  <si>
    <t xml:space="preserve">K8s namespace isolation vs MIG hard partitioning vs separate nodes per tier</t>
  </si>
  <si>
    <t xml:space="preserve">Sensitivity tiers may force physical separation</t>
  </si>
  <si>
    <t xml:space="preserve">7.3</t>
  </si>
  <si>
    <t xml:space="preserve">Encryption requirements</t>
  </si>
  <si>
    <t xml:space="preserve">At rest (SED NVMe/array), in transit (TLS, RoCE), confidential computing modes</t>
  </si>
  <si>
    <t xml:space="preserve">H200 supports confidential computing; decide if any workload requires it</t>
  </si>
  <si>
    <t xml:space="preserve">7.4</t>
  </si>
  <si>
    <t xml:space="preserve">NGFW vendor, placement, HA timing</t>
  </si>
  <si>
    <t xml:space="preserve">Cisco / Palo Alto / Fortinet / Juniper; pod edge vs east-west; HA at Phase 1 or 2</t>
  </si>
  <si>
    <t xml:space="preserve">Approved-vendor fit governs; placement decides throughput class (10/25/100Gbps)</t>
  </si>
  <si>
    <t xml:space="preserve">7.5</t>
  </si>
  <si>
    <t xml:space="preserve">Remote access pattern</t>
  </si>
  <si>
    <t xml:space="preserve">Jump box / PAM; OEM call-home permissibility</t>
  </si>
  <si>
    <t xml:space="preserve">Hardware support workflows depend on this being decided</t>
  </si>
  <si>
    <t xml:space="preserve">7.6</t>
  </si>
  <si>
    <t xml:space="preserve">AI supply-chain security</t>
  </si>
  <si>
    <t xml:space="preserve">Signed model weights, hash validation, image scanning, dependency controls</t>
  </si>
  <si>
    <t xml:space="preserve">Treat model artifacts as a supply-chain risk surface with registry-level provenance attestation</t>
  </si>
  <si>
    <t xml:space="preserve">7.7</t>
  </si>
  <si>
    <t xml:space="preserve">Agentic-workload guardrails</t>
  </si>
  <si>
    <t xml:space="preserve">Per-agent rate limits, tool-call logging, prompt/response audit, ATLAS/OWASP-aligned telemetry</t>
  </si>
  <si>
    <t xml:space="preserve">Defines what the platform must emit to the SIEM to support agent-behavior detection</t>
  </si>
  <si>
    <t xml:space="preserve">7.8</t>
  </si>
  <si>
    <t xml:space="preserve">SIEM integration scope</t>
  </si>
  <si>
    <t xml:space="preserve">Infra logs only vs inference-layer events (authN, prompt metadata, model version, anomalies)</t>
  </si>
  <si>
    <t xml:space="preserve">Log volume and retention costs follow directly</t>
  </si>
  <si>
    <t xml:space="preserve">7.9</t>
  </si>
  <si>
    <t xml:space="preserve">Vulnerability management ownership</t>
  </si>
  <si>
    <t xml:space="preserve">Who patches GPU drivers, CUDA, serving-stack CVEs, on what SLA</t>
  </si>
  <si>
    <t xml:space="preserve">vLLM and adjacent projects move fast and have had real CVEs</t>
  </si>
  <si>
    <t xml:space="preserve">8.1</t>
  </si>
  <si>
    <t xml:space="preserve">8. Facilities: Rack / Power / Cooling</t>
  </si>
  <si>
    <t xml:space="preserve">Power budget per node and per rack</t>
  </si>
  <si>
    <t xml:space="preserve">4x H200 PCIe ~4-6kW; 8x H200 SXM ~10-12kW; nodes per rack vs available kW</t>
  </si>
  <si>
    <t xml:space="preserve">Facility power frequently caps the design before budget does</t>
  </si>
  <si>
    <t xml:space="preserve">8.2</t>
  </si>
  <si>
    <t xml:space="preserve">Air vs liquid cooling</t>
  </si>
  <si>
    <t xml:space="preserve">Air (4x nodes, proper hot/cold aisle) vs rear-door HX / DLC (8x SXM density)</t>
  </si>
  <si>
    <t xml:space="preserve">Get facility's validated per-rack cooling capacity in writing before selecting node density</t>
  </si>
  <si>
    <t xml:space="preserve">8.3</t>
  </si>
  <si>
    <t xml:space="preserve">Facility selection</t>
  </si>
  <si>
    <t xml:space="preserve">Existing AT&amp;T DC vs colo vs lab space for Phase 1</t>
  </si>
  <si>
    <t xml:space="preserve">Power/cooling/security review timelines differ; often the schedule-critical path</t>
  </si>
  <si>
    <t xml:space="preserve">8.4</t>
  </si>
  <si>
    <t xml:space="preserve">Power protection &amp; PDU spec</t>
  </si>
  <si>
    <t xml:space="preserve">Facility UPS/generator vs in-rack UPS; A/B feeds; 30A/60A single vs three-phase</t>
  </si>
  <si>
    <t xml:space="preserve">PDU amperage must match node PSUs; A/B feed availability drives redundancy design</t>
  </si>
  <si>
    <t xml:space="preserve">8.5</t>
  </si>
  <si>
    <t xml:space="preserve">Physical security &amp; smart hands</t>
  </si>
  <si>
    <t xml:space="preserve">Badge access model, camera coverage, remote-hands provider</t>
  </si>
  <si>
    <t xml:space="preserve">Operational dependency for a lights-out GPU pod</t>
  </si>
  <si>
    <t xml:space="preserve">9.1</t>
  </si>
  <si>
    <t xml:space="preserve">9. Operations &amp; Service Model</t>
  </si>
  <si>
    <t xml:space="preserve">Operating ownership (RACI)</t>
  </si>
  <si>
    <t xml:space="preserve">AT&amp;T infra / CSO AI team / integrator / hybrid across 4 layers (HW, OS, serving, model)</t>
  </si>
  <si>
    <t xml:space="preserve">Four layers often mean four different owners; unclear RACI stalls production readiness</t>
  </si>
  <si>
    <t xml:space="preserve">9.2</t>
  </si>
  <si>
    <t xml:space="preserve">SLA definition &amp; on-call</t>
  </si>
  <si>
    <t xml:space="preserve">Measured on API availability? latency percentiles? On-call rotation; OEM/NVIDIA escalation</t>
  </si>
  <si>
    <t xml:space="preserve">Phase 3 promises SLA-backed service; define measurement now</t>
  </si>
  <si>
    <t xml:space="preserve">9.3</t>
  </si>
  <si>
    <t xml:space="preserve">Observability stack &amp; alerting</t>
  </si>
  <si>
    <t xml:space="preserve">Prometheus/Grafana + DCGM vs enterprise monitoring standard; alert thresholds and recipients</t>
  </si>
  <si>
    <t xml:space="preserve">GPU temp, HBM ECC errors, KV cache pressure, queue depth need owners</t>
  </si>
  <si>
    <t xml:space="preserve">9.4</t>
  </si>
  <si>
    <t xml:space="preserve">Capacity management &amp; Phase 2 trigger</t>
  </si>
  <si>
    <t xml:space="preserve">Metric thresholds (e.g., sustained &gt;70% GPU util at P95, SLA breaches) and decision owner</t>
  </si>
  <si>
    <t xml:space="preserve">Turns 'scale later' into a governed, budgetable event</t>
  </si>
  <si>
    <t xml:space="preserve">9.5</t>
  </si>
  <si>
    <t xml:space="preserve">Chargeback / showback model</t>
  </si>
  <si>
    <t xml:space="preserve">Per-token, per-GPU-hour, per-team allocation; metering via API gateway</t>
  </si>
  <si>
    <t xml:space="preserve">Required by Phase 3; metering design should exist by Phase 1</t>
  </si>
  <si>
    <t xml:space="preserve">9.6</t>
  </si>
  <si>
    <t xml:space="preserve">Change management</t>
  </si>
  <si>
    <t xml:space="preserve">Model promotion, driver updates, serving upgrades through AT&amp;T change control</t>
  </si>
  <si>
    <t xml:space="preserve">Define maintenance windows and rollback procedures</t>
  </si>
  <si>
    <t xml:space="preserve">10.1</t>
  </si>
  <si>
    <t xml:space="preserve">10. Procurement &amp; Financial</t>
  </si>
  <si>
    <t xml:space="preserve">CapEx vs OpEx model</t>
  </si>
  <si>
    <t xml:space="preserve">Purchase vs lease vs OEM as-a-service (APEX / GreenLake class)</t>
  </si>
  <si>
    <t xml:space="preserve">Also decide whether cloud/GPU-cloud alternative needs a formal TCO comparison</t>
  </si>
  <si>
    <t xml:space="preserve">10.2</t>
  </si>
  <si>
    <t xml:space="preserve">TCO model scope &amp; baseline</t>
  </si>
  <si>
    <t xml:space="preserve">HW + AI Enterprise licensing + support + power (~$10-15K/yr per 10kW node) + facility + staffing</t>
  </si>
  <si>
    <t xml:space="preserve">Define comparison baseline (API models, cloud GPU rental) and the utilization assumption that makes on-prem win</t>
  </si>
  <si>
    <t xml:space="preserve">10.3</t>
  </si>
  <si>
    <t xml:space="preserve">Lead-time management</t>
  </si>
  <si>
    <t xml:space="preserve">H200 systems can carry multi-month lead times; order timing vs facility readiness; interim node?</t>
  </si>
  <si>
    <t xml:space="preserve">Can be placed once Tier-2 decisions close, in parallel with Tier-3 items</t>
  </si>
  <si>
    <t xml:space="preserve">10.4</t>
  </si>
  <si>
    <t xml:space="preserve">Budget phasing &amp; approval gates</t>
  </si>
  <si>
    <t xml:space="preserve">What Phase 1 must demonstrate (benchmarks, adoption, cost-per-token) to unlock Phase 2</t>
  </si>
  <si>
    <t xml:space="preserve">Write exit criteria before hardware arrives</t>
  </si>
  <si>
    <t xml:space="preserve">10.5</t>
  </si>
  <si>
    <t xml:space="preserve">Vendor consolidation</t>
  </si>
  <si>
    <t xml:space="preserve">Single-integrator turnkey vs component procurement via existing supplier agreements</t>
  </si>
  <si>
    <t xml:space="preserve">Affects accountability chain and pricing leverage</t>
  </si>
  <si>
    <t xml:space="preserve">11.1</t>
  </si>
  <si>
    <t xml:space="preserve">11. Governance &amp; Program</t>
  </si>
  <si>
    <t xml:space="preserve">Model governance</t>
  </si>
  <si>
    <t xml:space="preserve">Approved model list (license review: Llama, Qwen, Mistral, etc.); approval workflow; gateway enforcement</t>
  </si>
  <si>
    <t xml:space="preserve">Open-weight license terms require legal review before production use</t>
  </si>
  <si>
    <t xml:space="preserve">11.2</t>
  </si>
  <si>
    <t xml:space="preserve">Acceptable use &amp; data handling policy</t>
  </si>
  <si>
    <t xml:space="preserve">What users may submit; prompt/response retention; privacy posture; legal review</t>
  </si>
  <si>
    <t xml:space="preserve">Retention of completions is a compliance decision</t>
  </si>
  <si>
    <t xml:space="preserve">11.3</t>
  </si>
  <si>
    <t xml:space="preserve">Pilot success metrics</t>
  </si>
  <si>
    <t xml:space="preserve">Target benchmark (e.g., 70B FP8 at N users under X ms TTFT); adoption; cost per M tokens vs API</t>
  </si>
  <si>
    <t xml:space="preserve">Define before hardware arrives so Phase 2 has an objective gate</t>
  </si>
  <si>
    <t xml:space="preserve">11.4</t>
  </si>
  <si>
    <t xml:space="preserve">Decision owners &amp; deadlines</t>
  </si>
  <si>
    <t xml:space="preserve">Assign owner + required-by date to every open row in this matrix</t>
  </si>
  <si>
    <t xml:space="preserve">Unowned decisions default to the most expensive answer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</si>
</sst>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BDD7EE"/>
      </patternFill>
    </fill>
    <fill>
      <patternFill patternType="solid">
        <fgColor rgb="FFBDD7EE"/>
        <bgColor rgb="FFC6E0B4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5" t="n">
        <f aca="false">COUNTIF('Decision Matrix'!J2:J67,A6)</f>
        <v>66</v>
      </c>
    </row>
    <row r="7" customFormat="false" ht="15" hidden="false" customHeight="false" outlineLevel="0" collapsed="false">
      <c r="A7" s="5" t="s">
        <v>6</v>
      </c>
      <c r="B7" s="5" t="n">
        <f aca="false">COUNTIF('Decision Matrix'!J2:J67,A7)</f>
        <v>0</v>
      </c>
    </row>
    <row r="8" customFormat="false" ht="15" hidden="false" customHeight="false" outlineLevel="0" collapsed="false">
      <c r="A8" s="5" t="s">
        <v>7</v>
      </c>
      <c r="B8" s="5" t="n">
        <f aca="false">COUNTIF('Decision Matrix'!J2:J67,A8)</f>
        <v>0</v>
      </c>
    </row>
    <row r="9" customFormat="false" ht="15" hidden="false" customHeight="false" outlineLevel="0" collapsed="false">
      <c r="A9" s="5" t="s">
        <v>8</v>
      </c>
      <c r="B9" s="5" t="n">
        <f aca="false">COUNTIF('Decision Matrix'!J2:J67,A9)</f>
        <v>0</v>
      </c>
    </row>
    <row r="10" customFormat="false" ht="15" hidden="false" customHeight="false" outlineLevel="0" collapsed="false">
      <c r="A10" s="6" t="s">
        <v>9</v>
      </c>
      <c r="B10" s="6" t="n">
        <f aca="false">COUNTA('Decision Matrix'!A2:A67)</f>
        <v>66</v>
      </c>
    </row>
    <row r="12" customFormat="false" ht="15" hidden="false" customHeight="false" outlineLevel="0" collapsed="false">
      <c r="A12" s="3" t="s">
        <v>10</v>
      </c>
    </row>
    <row r="13" customFormat="false" ht="23.85" hidden="false" customHeight="false" outlineLevel="0" collapsed="false">
      <c r="A13" s="7" t="s">
        <v>11</v>
      </c>
      <c r="B13" s="8" t="s">
        <v>12</v>
      </c>
    </row>
    <row r="14" customFormat="false" ht="15" hidden="false" customHeight="false" outlineLevel="0" collapsed="false">
      <c r="A14" s="9" t="s">
        <v>13</v>
      </c>
      <c r="B14" s="8" t="s">
        <v>14</v>
      </c>
    </row>
    <row r="15" customFormat="false" ht="15" hidden="false" customHeight="false" outlineLevel="0" collapsed="false">
      <c r="A15" s="10" t="s">
        <v>15</v>
      </c>
      <c r="B15" s="8" t="s">
        <v>16</v>
      </c>
    </row>
    <row r="16" customFormat="false" ht="15" hidden="false" customHeight="false" outlineLevel="0" collapsed="false">
      <c r="A16" s="11" t="s">
        <v>17</v>
      </c>
      <c r="B16" s="8" t="s">
        <v>18</v>
      </c>
    </row>
    <row r="18" customFormat="false" ht="15" hidden="false" customHeight="false" outlineLevel="0" collapsed="false">
      <c r="A18" s="3" t="s">
        <v>19</v>
      </c>
    </row>
    <row r="19" customFormat="false" ht="23.85" hidden="false" customHeight="false" outlineLevel="0" collapsed="false">
      <c r="B19" s="12" t="s">
        <v>20</v>
      </c>
    </row>
    <row r="20" customFormat="false" ht="15" hidden="false" customHeight="false" outlineLevel="0" collapsed="false">
      <c r="B20" s="12" t="s">
        <v>21</v>
      </c>
    </row>
    <row r="21" customFormat="false" ht="23.85" hidden="false" customHeight="false" outlineLevel="0" collapsed="false">
      <c r="B21" s="12" t="s">
        <v>22</v>
      </c>
    </row>
    <row r="22" customFormat="false" ht="23.85" hidden="false" customHeight="false" outlineLevel="0" collapsed="false">
      <c r="B22" s="1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48"/>
    <col collapsed="false" customWidth="true" hidden="false" outlineLevel="0" max="5" min="5" style="0" width="52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40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3" t="s">
        <v>24</v>
      </c>
      <c r="B1" s="13" t="s">
        <v>25</v>
      </c>
      <c r="C1" s="13" t="s">
        <v>26</v>
      </c>
      <c r="D1" s="13" t="s">
        <v>27</v>
      </c>
      <c r="E1" s="13" t="s">
        <v>28</v>
      </c>
      <c r="F1" s="13" t="s">
        <v>29</v>
      </c>
      <c r="G1" s="13" t="s">
        <v>30</v>
      </c>
      <c r="H1" s="13" t="s">
        <v>31</v>
      </c>
      <c r="I1" s="13" t="s">
        <v>32</v>
      </c>
      <c r="J1" s="13" t="s">
        <v>3</v>
      </c>
    </row>
    <row r="2" customFormat="false" ht="23.85" hidden="false" customHeight="false" outlineLevel="0" collapsed="false">
      <c r="A2" s="8" t="s">
        <v>33</v>
      </c>
      <c r="B2" s="8" t="s">
        <v>34</v>
      </c>
      <c r="C2" s="14" t="s">
        <v>35</v>
      </c>
      <c r="D2" s="8" t="s">
        <v>36</v>
      </c>
      <c r="E2" s="8" t="s">
        <v>37</v>
      </c>
      <c r="F2" s="15" t="s">
        <v>11</v>
      </c>
      <c r="G2" s="16"/>
      <c r="H2" s="16"/>
      <c r="I2" s="16"/>
      <c r="J2" s="16" t="s">
        <v>5</v>
      </c>
    </row>
    <row r="3" customFormat="false" ht="23.85" hidden="false" customHeight="false" outlineLevel="0" collapsed="false">
      <c r="A3" s="8" t="s">
        <v>38</v>
      </c>
      <c r="B3" s="8" t="s">
        <v>34</v>
      </c>
      <c r="C3" s="14" t="s">
        <v>39</v>
      </c>
      <c r="D3" s="8" t="s">
        <v>40</v>
      </c>
      <c r="E3" s="8" t="s">
        <v>41</v>
      </c>
      <c r="F3" s="15" t="s">
        <v>11</v>
      </c>
      <c r="G3" s="16"/>
      <c r="H3" s="16"/>
      <c r="I3" s="16"/>
      <c r="J3" s="16" t="s">
        <v>5</v>
      </c>
    </row>
    <row r="4" customFormat="false" ht="23.85" hidden="false" customHeight="false" outlineLevel="0" collapsed="false">
      <c r="A4" s="8" t="s">
        <v>42</v>
      </c>
      <c r="B4" s="8" t="s">
        <v>34</v>
      </c>
      <c r="C4" s="14" t="s">
        <v>43</v>
      </c>
      <c r="D4" s="8" t="s">
        <v>44</v>
      </c>
      <c r="E4" s="8" t="s">
        <v>45</v>
      </c>
      <c r="F4" s="15" t="s">
        <v>11</v>
      </c>
      <c r="G4" s="16"/>
      <c r="H4" s="16"/>
      <c r="I4" s="16"/>
      <c r="J4" s="16" t="s">
        <v>5</v>
      </c>
    </row>
    <row r="5" customFormat="false" ht="23.85" hidden="false" customHeight="false" outlineLevel="0" collapsed="false">
      <c r="A5" s="8" t="s">
        <v>46</v>
      </c>
      <c r="B5" s="8" t="s">
        <v>34</v>
      </c>
      <c r="C5" s="14" t="s">
        <v>47</v>
      </c>
      <c r="D5" s="8" t="s">
        <v>48</v>
      </c>
      <c r="E5" s="8" t="s">
        <v>49</v>
      </c>
      <c r="F5" s="15" t="s">
        <v>11</v>
      </c>
      <c r="G5" s="16"/>
      <c r="H5" s="16"/>
      <c r="I5" s="16"/>
      <c r="J5" s="16" t="s">
        <v>5</v>
      </c>
    </row>
    <row r="6" customFormat="false" ht="23.85" hidden="false" customHeight="false" outlineLevel="0" collapsed="false">
      <c r="A6" s="8" t="s">
        <v>50</v>
      </c>
      <c r="B6" s="8" t="s">
        <v>34</v>
      </c>
      <c r="C6" s="14" t="s">
        <v>51</v>
      </c>
      <c r="D6" s="8" t="s">
        <v>52</v>
      </c>
      <c r="E6" s="8" t="s">
        <v>53</v>
      </c>
      <c r="F6" s="15" t="s">
        <v>11</v>
      </c>
      <c r="G6" s="16"/>
      <c r="H6" s="16"/>
      <c r="I6" s="16"/>
      <c r="J6" s="16" t="s">
        <v>5</v>
      </c>
    </row>
    <row r="7" customFormat="false" ht="23.85" hidden="false" customHeight="false" outlineLevel="0" collapsed="false">
      <c r="A7" s="8" t="s">
        <v>54</v>
      </c>
      <c r="B7" s="8" t="s">
        <v>34</v>
      </c>
      <c r="C7" s="14" t="s">
        <v>55</v>
      </c>
      <c r="D7" s="8" t="s">
        <v>56</v>
      </c>
      <c r="E7" s="8" t="s">
        <v>57</v>
      </c>
      <c r="F7" s="15" t="s">
        <v>11</v>
      </c>
      <c r="G7" s="16"/>
      <c r="H7" s="16"/>
      <c r="I7" s="16"/>
      <c r="J7" s="16" t="s">
        <v>5</v>
      </c>
    </row>
    <row r="8" customFormat="false" ht="23.85" hidden="false" customHeight="false" outlineLevel="0" collapsed="false">
      <c r="A8" s="8" t="s">
        <v>58</v>
      </c>
      <c r="B8" s="8" t="s">
        <v>34</v>
      </c>
      <c r="C8" s="14" t="s">
        <v>59</v>
      </c>
      <c r="D8" s="8" t="s">
        <v>60</v>
      </c>
      <c r="E8" s="8" t="s">
        <v>61</v>
      </c>
      <c r="F8" s="15" t="s">
        <v>11</v>
      </c>
      <c r="G8" s="16"/>
      <c r="H8" s="16"/>
      <c r="I8" s="16"/>
      <c r="J8" s="16" t="s">
        <v>5</v>
      </c>
    </row>
    <row r="9" customFormat="false" ht="23.85" hidden="false" customHeight="false" outlineLevel="0" collapsed="false">
      <c r="A9" s="8" t="s">
        <v>62</v>
      </c>
      <c r="B9" s="8" t="s">
        <v>34</v>
      </c>
      <c r="C9" s="14" t="s">
        <v>63</v>
      </c>
      <c r="D9" s="8" t="s">
        <v>64</v>
      </c>
      <c r="E9" s="8" t="s">
        <v>65</v>
      </c>
      <c r="F9" s="15" t="s">
        <v>11</v>
      </c>
      <c r="G9" s="16"/>
      <c r="H9" s="16"/>
      <c r="I9" s="16"/>
      <c r="J9" s="16" t="s">
        <v>5</v>
      </c>
    </row>
    <row r="10" customFormat="false" ht="23.85" hidden="false" customHeight="false" outlineLevel="0" collapsed="false">
      <c r="A10" s="8" t="s">
        <v>66</v>
      </c>
      <c r="B10" s="8" t="s">
        <v>34</v>
      </c>
      <c r="C10" s="14" t="s">
        <v>67</v>
      </c>
      <c r="D10" s="8" t="s">
        <v>68</v>
      </c>
      <c r="E10" s="8" t="s">
        <v>69</v>
      </c>
      <c r="F10" s="15" t="s">
        <v>11</v>
      </c>
      <c r="G10" s="16"/>
      <c r="H10" s="16"/>
      <c r="I10" s="16"/>
      <c r="J10" s="16" t="s">
        <v>5</v>
      </c>
    </row>
    <row r="11" customFormat="false" ht="23.85" hidden="false" customHeight="false" outlineLevel="0" collapsed="false">
      <c r="A11" s="8" t="s">
        <v>70</v>
      </c>
      <c r="B11" s="8" t="s">
        <v>34</v>
      </c>
      <c r="C11" s="14" t="s">
        <v>71</v>
      </c>
      <c r="D11" s="8" t="s">
        <v>72</v>
      </c>
      <c r="E11" s="8" t="s">
        <v>73</v>
      </c>
      <c r="F11" s="15" t="s">
        <v>11</v>
      </c>
      <c r="G11" s="16"/>
      <c r="H11" s="16"/>
      <c r="I11" s="16"/>
      <c r="J11" s="16" t="s">
        <v>5</v>
      </c>
    </row>
    <row r="12" customFormat="false" ht="23.85" hidden="false" customHeight="false" outlineLevel="0" collapsed="false">
      <c r="A12" s="8" t="s">
        <v>74</v>
      </c>
      <c r="B12" s="8" t="s">
        <v>34</v>
      </c>
      <c r="C12" s="14" t="s">
        <v>75</v>
      </c>
      <c r="D12" s="8" t="s">
        <v>76</v>
      </c>
      <c r="E12" s="8" t="s">
        <v>77</v>
      </c>
      <c r="F12" s="15" t="s">
        <v>11</v>
      </c>
      <c r="G12" s="16"/>
      <c r="H12" s="16"/>
      <c r="I12" s="16"/>
      <c r="J12" s="16" t="s">
        <v>5</v>
      </c>
    </row>
    <row r="13" customFormat="false" ht="23.85" hidden="false" customHeight="false" outlineLevel="0" collapsed="false">
      <c r="A13" s="8" t="s">
        <v>78</v>
      </c>
      <c r="B13" s="8" t="s">
        <v>79</v>
      </c>
      <c r="C13" s="14" t="s">
        <v>80</v>
      </c>
      <c r="D13" s="8" t="s">
        <v>81</v>
      </c>
      <c r="E13" s="8" t="s">
        <v>82</v>
      </c>
      <c r="F13" s="17" t="s">
        <v>13</v>
      </c>
      <c r="G13" s="16"/>
      <c r="H13" s="16"/>
      <c r="I13" s="16"/>
      <c r="J13" s="16" t="s">
        <v>5</v>
      </c>
    </row>
    <row r="14" customFormat="false" ht="23.85" hidden="false" customHeight="false" outlineLevel="0" collapsed="false">
      <c r="A14" s="8" t="s">
        <v>83</v>
      </c>
      <c r="B14" s="8" t="s">
        <v>79</v>
      </c>
      <c r="C14" s="14" t="s">
        <v>84</v>
      </c>
      <c r="D14" s="8" t="s">
        <v>85</v>
      </c>
      <c r="E14" s="8" t="s">
        <v>86</v>
      </c>
      <c r="F14" s="17" t="s">
        <v>13</v>
      </c>
      <c r="G14" s="16"/>
      <c r="H14" s="16"/>
      <c r="I14" s="16"/>
      <c r="J14" s="16" t="s">
        <v>5</v>
      </c>
    </row>
    <row r="15" customFormat="false" ht="23.85" hidden="false" customHeight="false" outlineLevel="0" collapsed="false">
      <c r="A15" s="8" t="s">
        <v>87</v>
      </c>
      <c r="B15" s="8" t="s">
        <v>79</v>
      </c>
      <c r="C15" s="14" t="s">
        <v>88</v>
      </c>
      <c r="D15" s="8" t="s">
        <v>89</v>
      </c>
      <c r="E15" s="8" t="s">
        <v>90</v>
      </c>
      <c r="F15" s="17" t="s">
        <v>13</v>
      </c>
      <c r="G15" s="16"/>
      <c r="H15" s="16"/>
      <c r="I15" s="16"/>
      <c r="J15" s="16" t="s">
        <v>5</v>
      </c>
    </row>
    <row r="16" customFormat="false" ht="23.85" hidden="false" customHeight="false" outlineLevel="0" collapsed="false">
      <c r="A16" s="8" t="s">
        <v>91</v>
      </c>
      <c r="B16" s="8" t="s">
        <v>79</v>
      </c>
      <c r="C16" s="14" t="s">
        <v>92</v>
      </c>
      <c r="D16" s="8" t="s">
        <v>93</v>
      </c>
      <c r="E16" s="8" t="s">
        <v>94</v>
      </c>
      <c r="F16" s="17" t="s">
        <v>13</v>
      </c>
      <c r="G16" s="16"/>
      <c r="H16" s="16"/>
      <c r="I16" s="16"/>
      <c r="J16" s="16" t="s">
        <v>5</v>
      </c>
    </row>
    <row r="17" customFormat="false" ht="23.85" hidden="false" customHeight="false" outlineLevel="0" collapsed="false">
      <c r="A17" s="8" t="s">
        <v>95</v>
      </c>
      <c r="B17" s="8" t="s">
        <v>79</v>
      </c>
      <c r="C17" s="14" t="s">
        <v>96</v>
      </c>
      <c r="D17" s="8" t="s">
        <v>97</v>
      </c>
      <c r="E17" s="8" t="s">
        <v>98</v>
      </c>
      <c r="F17" s="17" t="s">
        <v>13</v>
      </c>
      <c r="G17" s="16"/>
      <c r="H17" s="16"/>
      <c r="I17" s="16"/>
      <c r="J17" s="16" t="s">
        <v>5</v>
      </c>
    </row>
    <row r="18" customFormat="false" ht="23.85" hidden="false" customHeight="false" outlineLevel="0" collapsed="false">
      <c r="A18" s="8" t="s">
        <v>99</v>
      </c>
      <c r="B18" s="8" t="s">
        <v>100</v>
      </c>
      <c r="C18" s="14" t="s">
        <v>101</v>
      </c>
      <c r="D18" s="8" t="s">
        <v>102</v>
      </c>
      <c r="E18" s="8" t="s">
        <v>103</v>
      </c>
      <c r="F18" s="17" t="s">
        <v>13</v>
      </c>
      <c r="G18" s="16"/>
      <c r="H18" s="16"/>
      <c r="I18" s="16"/>
      <c r="J18" s="16" t="s">
        <v>5</v>
      </c>
    </row>
    <row r="19" customFormat="false" ht="23.85" hidden="false" customHeight="false" outlineLevel="0" collapsed="false">
      <c r="A19" s="8" t="s">
        <v>104</v>
      </c>
      <c r="B19" s="8" t="s">
        <v>100</v>
      </c>
      <c r="C19" s="14" t="s">
        <v>105</v>
      </c>
      <c r="D19" s="8" t="s">
        <v>106</v>
      </c>
      <c r="E19" s="8" t="s">
        <v>107</v>
      </c>
      <c r="F19" s="17" t="s">
        <v>13</v>
      </c>
      <c r="G19" s="16"/>
      <c r="H19" s="16"/>
      <c r="I19" s="16"/>
      <c r="J19" s="16" t="s">
        <v>5</v>
      </c>
    </row>
    <row r="20" customFormat="false" ht="23.85" hidden="false" customHeight="false" outlineLevel="0" collapsed="false">
      <c r="A20" s="8" t="s">
        <v>108</v>
      </c>
      <c r="B20" s="8" t="s">
        <v>100</v>
      </c>
      <c r="C20" s="14" t="s">
        <v>109</v>
      </c>
      <c r="D20" s="8" t="s">
        <v>110</v>
      </c>
      <c r="E20" s="8" t="s">
        <v>111</v>
      </c>
      <c r="F20" s="17" t="s">
        <v>13</v>
      </c>
      <c r="G20" s="16"/>
      <c r="H20" s="16"/>
      <c r="I20" s="16"/>
      <c r="J20" s="16" t="s">
        <v>5</v>
      </c>
    </row>
    <row r="21" customFormat="false" ht="15" hidden="false" customHeight="false" outlineLevel="0" collapsed="false">
      <c r="A21" s="8" t="s">
        <v>112</v>
      </c>
      <c r="B21" s="8" t="s">
        <v>100</v>
      </c>
      <c r="C21" s="14" t="s">
        <v>113</v>
      </c>
      <c r="D21" s="8" t="s">
        <v>114</v>
      </c>
      <c r="E21" s="8" t="s">
        <v>115</v>
      </c>
      <c r="F21" s="18" t="s">
        <v>15</v>
      </c>
      <c r="G21" s="16"/>
      <c r="H21" s="16"/>
      <c r="I21" s="16"/>
      <c r="J21" s="16" t="s">
        <v>5</v>
      </c>
    </row>
    <row r="22" customFormat="false" ht="23.85" hidden="false" customHeight="false" outlineLevel="0" collapsed="false">
      <c r="A22" s="8" t="s">
        <v>116</v>
      </c>
      <c r="B22" s="8" t="s">
        <v>117</v>
      </c>
      <c r="C22" s="14" t="s">
        <v>118</v>
      </c>
      <c r="D22" s="8" t="s">
        <v>119</v>
      </c>
      <c r="E22" s="8" t="s">
        <v>120</v>
      </c>
      <c r="F22" s="17" t="s">
        <v>13</v>
      </c>
      <c r="G22" s="16"/>
      <c r="H22" s="16"/>
      <c r="I22" s="16"/>
      <c r="J22" s="16" t="s">
        <v>5</v>
      </c>
    </row>
    <row r="23" customFormat="false" ht="23.85" hidden="false" customHeight="false" outlineLevel="0" collapsed="false">
      <c r="A23" s="8" t="s">
        <v>121</v>
      </c>
      <c r="B23" s="8" t="s">
        <v>117</v>
      </c>
      <c r="C23" s="14" t="s">
        <v>122</v>
      </c>
      <c r="D23" s="8" t="s">
        <v>123</v>
      </c>
      <c r="E23" s="8" t="s">
        <v>124</v>
      </c>
      <c r="F23" s="18" t="s">
        <v>15</v>
      </c>
      <c r="G23" s="16"/>
      <c r="H23" s="16"/>
      <c r="I23" s="16"/>
      <c r="J23" s="16" t="s">
        <v>5</v>
      </c>
    </row>
    <row r="24" customFormat="false" ht="23.85" hidden="false" customHeight="false" outlineLevel="0" collapsed="false">
      <c r="A24" s="8" t="s">
        <v>125</v>
      </c>
      <c r="B24" s="8" t="s">
        <v>117</v>
      </c>
      <c r="C24" s="14" t="s">
        <v>126</v>
      </c>
      <c r="D24" s="8" t="s">
        <v>127</v>
      </c>
      <c r="E24" s="8" t="s">
        <v>128</v>
      </c>
      <c r="F24" s="18" t="s">
        <v>15</v>
      </c>
      <c r="G24" s="16"/>
      <c r="H24" s="16"/>
      <c r="I24" s="16"/>
      <c r="J24" s="16" t="s">
        <v>5</v>
      </c>
    </row>
    <row r="25" customFormat="false" ht="23.85" hidden="false" customHeight="false" outlineLevel="0" collapsed="false">
      <c r="A25" s="8" t="s">
        <v>129</v>
      </c>
      <c r="B25" s="8" t="s">
        <v>117</v>
      </c>
      <c r="C25" s="14" t="s">
        <v>130</v>
      </c>
      <c r="D25" s="8" t="s">
        <v>131</v>
      </c>
      <c r="E25" s="8" t="s">
        <v>132</v>
      </c>
      <c r="F25" s="18" t="s">
        <v>15</v>
      </c>
      <c r="G25" s="16"/>
      <c r="H25" s="16"/>
      <c r="I25" s="16"/>
      <c r="J25" s="16" t="s">
        <v>5</v>
      </c>
    </row>
    <row r="26" customFormat="false" ht="23.85" hidden="false" customHeight="false" outlineLevel="0" collapsed="false">
      <c r="A26" s="8" t="s">
        <v>133</v>
      </c>
      <c r="B26" s="8" t="s">
        <v>117</v>
      </c>
      <c r="C26" s="14" t="s">
        <v>134</v>
      </c>
      <c r="D26" s="8" t="s">
        <v>135</v>
      </c>
      <c r="E26" s="8" t="s">
        <v>136</v>
      </c>
      <c r="F26" s="18" t="s">
        <v>15</v>
      </c>
      <c r="G26" s="16"/>
      <c r="H26" s="16"/>
      <c r="I26" s="16"/>
      <c r="J26" s="16" t="s">
        <v>5</v>
      </c>
    </row>
    <row r="27" customFormat="false" ht="23.85" hidden="false" customHeight="false" outlineLevel="0" collapsed="false">
      <c r="A27" s="8" t="s">
        <v>137</v>
      </c>
      <c r="B27" s="8" t="s">
        <v>117</v>
      </c>
      <c r="C27" s="14" t="s">
        <v>138</v>
      </c>
      <c r="D27" s="8" t="s">
        <v>139</v>
      </c>
      <c r="E27" s="8" t="s">
        <v>140</v>
      </c>
      <c r="F27" s="18" t="s">
        <v>15</v>
      </c>
      <c r="G27" s="16"/>
      <c r="H27" s="16"/>
      <c r="I27" s="16"/>
      <c r="J27" s="16" t="s">
        <v>5</v>
      </c>
    </row>
    <row r="28" customFormat="false" ht="35.05" hidden="false" customHeight="false" outlineLevel="0" collapsed="false">
      <c r="A28" s="8" t="s">
        <v>141</v>
      </c>
      <c r="B28" s="8" t="s">
        <v>142</v>
      </c>
      <c r="C28" s="14" t="s">
        <v>143</v>
      </c>
      <c r="D28" s="8" t="s">
        <v>144</v>
      </c>
      <c r="E28" s="8" t="s">
        <v>145</v>
      </c>
      <c r="F28" s="17" t="s">
        <v>13</v>
      </c>
      <c r="G28" s="16"/>
      <c r="H28" s="16"/>
      <c r="I28" s="16"/>
      <c r="J28" s="16" t="s">
        <v>5</v>
      </c>
    </row>
    <row r="29" customFormat="false" ht="23.85" hidden="false" customHeight="false" outlineLevel="0" collapsed="false">
      <c r="A29" s="8" t="s">
        <v>146</v>
      </c>
      <c r="B29" s="8" t="s">
        <v>142</v>
      </c>
      <c r="C29" s="14" t="s">
        <v>147</v>
      </c>
      <c r="D29" s="8" t="s">
        <v>148</v>
      </c>
      <c r="E29" s="8" t="s">
        <v>149</v>
      </c>
      <c r="F29" s="17" t="s">
        <v>13</v>
      </c>
      <c r="G29" s="16"/>
      <c r="H29" s="16"/>
      <c r="I29" s="16"/>
      <c r="J29" s="16" t="s">
        <v>5</v>
      </c>
    </row>
    <row r="30" customFormat="false" ht="23.85" hidden="false" customHeight="false" outlineLevel="0" collapsed="false">
      <c r="A30" s="8" t="s">
        <v>150</v>
      </c>
      <c r="B30" s="8" t="s">
        <v>142</v>
      </c>
      <c r="C30" s="14" t="s">
        <v>151</v>
      </c>
      <c r="D30" s="8" t="s">
        <v>152</v>
      </c>
      <c r="E30" s="8" t="s">
        <v>153</v>
      </c>
      <c r="F30" s="18" t="s">
        <v>15</v>
      </c>
      <c r="G30" s="16"/>
      <c r="H30" s="16"/>
      <c r="I30" s="16"/>
      <c r="J30" s="16" t="s">
        <v>5</v>
      </c>
    </row>
    <row r="31" customFormat="false" ht="23.85" hidden="false" customHeight="false" outlineLevel="0" collapsed="false">
      <c r="A31" s="8" t="s">
        <v>154</v>
      </c>
      <c r="B31" s="8" t="s">
        <v>142</v>
      </c>
      <c r="C31" s="14" t="s">
        <v>155</v>
      </c>
      <c r="D31" s="8" t="s">
        <v>156</v>
      </c>
      <c r="E31" s="8" t="s">
        <v>157</v>
      </c>
      <c r="F31" s="18" t="s">
        <v>15</v>
      </c>
      <c r="G31" s="16"/>
      <c r="H31" s="16"/>
      <c r="I31" s="16"/>
      <c r="J31" s="16" t="s">
        <v>5</v>
      </c>
    </row>
    <row r="32" customFormat="false" ht="23.85" hidden="false" customHeight="false" outlineLevel="0" collapsed="false">
      <c r="A32" s="8" t="s">
        <v>158</v>
      </c>
      <c r="B32" s="8" t="s">
        <v>142</v>
      </c>
      <c r="C32" s="14" t="s">
        <v>159</v>
      </c>
      <c r="D32" s="8" t="s">
        <v>160</v>
      </c>
      <c r="E32" s="8" t="s">
        <v>161</v>
      </c>
      <c r="F32" s="18" t="s">
        <v>15</v>
      </c>
      <c r="G32" s="16"/>
      <c r="H32" s="16"/>
      <c r="I32" s="16"/>
      <c r="J32" s="16" t="s">
        <v>5</v>
      </c>
    </row>
    <row r="33" customFormat="false" ht="23.85" hidden="false" customHeight="false" outlineLevel="0" collapsed="false">
      <c r="A33" s="8" t="s">
        <v>162</v>
      </c>
      <c r="B33" s="8" t="s">
        <v>142</v>
      </c>
      <c r="C33" s="14" t="s">
        <v>163</v>
      </c>
      <c r="D33" s="8" t="s">
        <v>164</v>
      </c>
      <c r="E33" s="8" t="s">
        <v>165</v>
      </c>
      <c r="F33" s="18" t="s">
        <v>15</v>
      </c>
      <c r="G33" s="16"/>
      <c r="H33" s="16"/>
      <c r="I33" s="16"/>
      <c r="J33" s="16" t="s">
        <v>5</v>
      </c>
    </row>
    <row r="34" customFormat="false" ht="23.85" hidden="false" customHeight="false" outlineLevel="0" collapsed="false">
      <c r="A34" s="8" t="s">
        <v>166</v>
      </c>
      <c r="B34" s="8" t="s">
        <v>167</v>
      </c>
      <c r="C34" s="14" t="s">
        <v>168</v>
      </c>
      <c r="D34" s="8" t="s">
        <v>169</v>
      </c>
      <c r="E34" s="8" t="s">
        <v>170</v>
      </c>
      <c r="F34" s="18" t="s">
        <v>15</v>
      </c>
      <c r="G34" s="16"/>
      <c r="H34" s="16"/>
      <c r="I34" s="16"/>
      <c r="J34" s="16" t="s">
        <v>5</v>
      </c>
    </row>
    <row r="35" customFormat="false" ht="23.85" hidden="false" customHeight="false" outlineLevel="0" collapsed="false">
      <c r="A35" s="8" t="s">
        <v>171</v>
      </c>
      <c r="B35" s="8" t="s">
        <v>167</v>
      </c>
      <c r="C35" s="14" t="s">
        <v>172</v>
      </c>
      <c r="D35" s="8" t="s">
        <v>173</v>
      </c>
      <c r="E35" s="8" t="s">
        <v>174</v>
      </c>
      <c r="F35" s="18" t="s">
        <v>15</v>
      </c>
      <c r="G35" s="16"/>
      <c r="H35" s="16"/>
      <c r="I35" s="16"/>
      <c r="J35" s="16" t="s">
        <v>5</v>
      </c>
    </row>
    <row r="36" customFormat="false" ht="23.85" hidden="false" customHeight="false" outlineLevel="0" collapsed="false">
      <c r="A36" s="8" t="s">
        <v>175</v>
      </c>
      <c r="B36" s="8" t="s">
        <v>167</v>
      </c>
      <c r="C36" s="14" t="s">
        <v>176</v>
      </c>
      <c r="D36" s="8" t="s">
        <v>177</v>
      </c>
      <c r="E36" s="8" t="s">
        <v>178</v>
      </c>
      <c r="F36" s="18" t="s">
        <v>15</v>
      </c>
      <c r="G36" s="16"/>
      <c r="H36" s="16"/>
      <c r="I36" s="16"/>
      <c r="J36" s="16" t="s">
        <v>5</v>
      </c>
    </row>
    <row r="37" customFormat="false" ht="23.85" hidden="false" customHeight="false" outlineLevel="0" collapsed="false">
      <c r="A37" s="8" t="s">
        <v>179</v>
      </c>
      <c r="B37" s="8" t="s">
        <v>167</v>
      </c>
      <c r="C37" s="14" t="s">
        <v>180</v>
      </c>
      <c r="D37" s="8" t="s">
        <v>181</v>
      </c>
      <c r="E37" s="8" t="s">
        <v>182</v>
      </c>
      <c r="F37" s="18" t="s">
        <v>15</v>
      </c>
      <c r="G37" s="16"/>
      <c r="H37" s="16"/>
      <c r="I37" s="16"/>
      <c r="J37" s="16" t="s">
        <v>5</v>
      </c>
    </row>
    <row r="38" customFormat="false" ht="23.85" hidden="false" customHeight="false" outlineLevel="0" collapsed="false">
      <c r="A38" s="8" t="s">
        <v>183</v>
      </c>
      <c r="B38" s="8" t="s">
        <v>167</v>
      </c>
      <c r="C38" s="14" t="s">
        <v>184</v>
      </c>
      <c r="D38" s="8" t="s">
        <v>185</v>
      </c>
      <c r="E38" s="8" t="s">
        <v>186</v>
      </c>
      <c r="F38" s="18" t="s">
        <v>15</v>
      </c>
      <c r="G38" s="16"/>
      <c r="H38" s="16"/>
      <c r="I38" s="16"/>
      <c r="J38" s="16" t="s">
        <v>5</v>
      </c>
    </row>
    <row r="39" customFormat="false" ht="23.85" hidden="false" customHeight="false" outlineLevel="0" collapsed="false">
      <c r="A39" s="8" t="s">
        <v>187</v>
      </c>
      <c r="B39" s="8" t="s">
        <v>188</v>
      </c>
      <c r="C39" s="14" t="s">
        <v>189</v>
      </c>
      <c r="D39" s="8" t="s">
        <v>190</v>
      </c>
      <c r="E39" s="8" t="s">
        <v>191</v>
      </c>
      <c r="F39" s="15" t="s">
        <v>11</v>
      </c>
      <c r="G39" s="16"/>
      <c r="H39" s="16"/>
      <c r="I39" s="16"/>
      <c r="J39" s="16" t="s">
        <v>5</v>
      </c>
    </row>
    <row r="40" customFormat="false" ht="23.85" hidden="false" customHeight="false" outlineLevel="0" collapsed="false">
      <c r="A40" s="8" t="s">
        <v>192</v>
      </c>
      <c r="B40" s="8" t="s">
        <v>188</v>
      </c>
      <c r="C40" s="14" t="s">
        <v>193</v>
      </c>
      <c r="D40" s="8" t="s">
        <v>194</v>
      </c>
      <c r="E40" s="8" t="s">
        <v>195</v>
      </c>
      <c r="F40" s="18" t="s">
        <v>15</v>
      </c>
      <c r="G40" s="16"/>
      <c r="H40" s="16"/>
      <c r="I40" s="16"/>
      <c r="J40" s="16" t="s">
        <v>5</v>
      </c>
    </row>
    <row r="41" customFormat="false" ht="23.85" hidden="false" customHeight="false" outlineLevel="0" collapsed="false">
      <c r="A41" s="8" t="s">
        <v>196</v>
      </c>
      <c r="B41" s="8" t="s">
        <v>188</v>
      </c>
      <c r="C41" s="14" t="s">
        <v>197</v>
      </c>
      <c r="D41" s="8" t="s">
        <v>198</v>
      </c>
      <c r="E41" s="8" t="s">
        <v>199</v>
      </c>
      <c r="F41" s="18" t="s">
        <v>15</v>
      </c>
      <c r="G41" s="16"/>
      <c r="H41" s="16"/>
      <c r="I41" s="16"/>
      <c r="J41" s="16" t="s">
        <v>5</v>
      </c>
    </row>
    <row r="42" customFormat="false" ht="23.85" hidden="false" customHeight="false" outlineLevel="0" collapsed="false">
      <c r="A42" s="8" t="s">
        <v>200</v>
      </c>
      <c r="B42" s="8" t="s">
        <v>188</v>
      </c>
      <c r="C42" s="14" t="s">
        <v>201</v>
      </c>
      <c r="D42" s="8" t="s">
        <v>202</v>
      </c>
      <c r="E42" s="8" t="s">
        <v>203</v>
      </c>
      <c r="F42" s="18" t="s">
        <v>15</v>
      </c>
      <c r="G42" s="16"/>
      <c r="H42" s="16"/>
      <c r="I42" s="16"/>
      <c r="J42" s="16" t="s">
        <v>5</v>
      </c>
    </row>
    <row r="43" customFormat="false" ht="15" hidden="false" customHeight="false" outlineLevel="0" collapsed="false">
      <c r="A43" s="8" t="s">
        <v>204</v>
      </c>
      <c r="B43" s="8" t="s">
        <v>188</v>
      </c>
      <c r="C43" s="14" t="s">
        <v>205</v>
      </c>
      <c r="D43" s="8" t="s">
        <v>206</v>
      </c>
      <c r="E43" s="8" t="s">
        <v>207</v>
      </c>
      <c r="F43" s="18" t="s">
        <v>15</v>
      </c>
      <c r="G43" s="16"/>
      <c r="H43" s="16"/>
      <c r="I43" s="16"/>
      <c r="J43" s="16" t="s">
        <v>5</v>
      </c>
    </row>
    <row r="44" customFormat="false" ht="23.85" hidden="false" customHeight="false" outlineLevel="0" collapsed="false">
      <c r="A44" s="8" t="s">
        <v>208</v>
      </c>
      <c r="B44" s="8" t="s">
        <v>188</v>
      </c>
      <c r="C44" s="14" t="s">
        <v>209</v>
      </c>
      <c r="D44" s="8" t="s">
        <v>210</v>
      </c>
      <c r="E44" s="8" t="s">
        <v>211</v>
      </c>
      <c r="F44" s="18" t="s">
        <v>15</v>
      </c>
      <c r="G44" s="16"/>
      <c r="H44" s="16"/>
      <c r="I44" s="16"/>
      <c r="J44" s="16" t="s">
        <v>5</v>
      </c>
    </row>
    <row r="45" customFormat="false" ht="23.85" hidden="false" customHeight="false" outlineLevel="0" collapsed="false">
      <c r="A45" s="8" t="s">
        <v>212</v>
      </c>
      <c r="B45" s="8" t="s">
        <v>188</v>
      </c>
      <c r="C45" s="14" t="s">
        <v>213</v>
      </c>
      <c r="D45" s="8" t="s">
        <v>214</v>
      </c>
      <c r="E45" s="8" t="s">
        <v>215</v>
      </c>
      <c r="F45" s="18" t="s">
        <v>15</v>
      </c>
      <c r="G45" s="16"/>
      <c r="H45" s="16"/>
      <c r="I45" s="16"/>
      <c r="J45" s="16" t="s">
        <v>5</v>
      </c>
    </row>
    <row r="46" customFormat="false" ht="23.85" hidden="false" customHeight="false" outlineLevel="0" collapsed="false">
      <c r="A46" s="8" t="s">
        <v>216</v>
      </c>
      <c r="B46" s="8" t="s">
        <v>188</v>
      </c>
      <c r="C46" s="14" t="s">
        <v>217</v>
      </c>
      <c r="D46" s="8" t="s">
        <v>218</v>
      </c>
      <c r="E46" s="8" t="s">
        <v>219</v>
      </c>
      <c r="F46" s="18" t="s">
        <v>15</v>
      </c>
      <c r="G46" s="16"/>
      <c r="H46" s="16"/>
      <c r="I46" s="16"/>
      <c r="J46" s="16" t="s">
        <v>5</v>
      </c>
    </row>
    <row r="47" customFormat="false" ht="23.85" hidden="false" customHeight="false" outlineLevel="0" collapsed="false">
      <c r="A47" s="8" t="s">
        <v>220</v>
      </c>
      <c r="B47" s="8" t="s">
        <v>188</v>
      </c>
      <c r="C47" s="14" t="s">
        <v>221</v>
      </c>
      <c r="D47" s="8" t="s">
        <v>222</v>
      </c>
      <c r="E47" s="8" t="s">
        <v>223</v>
      </c>
      <c r="F47" s="18" t="s">
        <v>15</v>
      </c>
      <c r="G47" s="16"/>
      <c r="H47" s="16"/>
      <c r="I47" s="16"/>
      <c r="J47" s="16" t="s">
        <v>5</v>
      </c>
    </row>
    <row r="48" customFormat="false" ht="23.85" hidden="false" customHeight="false" outlineLevel="0" collapsed="false">
      <c r="A48" s="8" t="s">
        <v>224</v>
      </c>
      <c r="B48" s="8" t="s">
        <v>225</v>
      </c>
      <c r="C48" s="14" t="s">
        <v>226</v>
      </c>
      <c r="D48" s="8" t="s">
        <v>227</v>
      </c>
      <c r="E48" s="8" t="s">
        <v>228</v>
      </c>
      <c r="F48" s="15" t="s">
        <v>11</v>
      </c>
      <c r="G48" s="16"/>
      <c r="H48" s="16"/>
      <c r="I48" s="16"/>
      <c r="J48" s="16" t="s">
        <v>5</v>
      </c>
    </row>
    <row r="49" customFormat="false" ht="23.85" hidden="false" customHeight="false" outlineLevel="0" collapsed="false">
      <c r="A49" s="8" t="s">
        <v>229</v>
      </c>
      <c r="B49" s="8" t="s">
        <v>225</v>
      </c>
      <c r="C49" s="14" t="s">
        <v>230</v>
      </c>
      <c r="D49" s="8" t="s">
        <v>231</v>
      </c>
      <c r="E49" s="8" t="s">
        <v>232</v>
      </c>
      <c r="F49" s="15" t="s">
        <v>11</v>
      </c>
      <c r="G49" s="16"/>
      <c r="H49" s="16"/>
      <c r="I49" s="16"/>
      <c r="J49" s="16" t="s">
        <v>5</v>
      </c>
    </row>
    <row r="50" customFormat="false" ht="23.85" hidden="false" customHeight="false" outlineLevel="0" collapsed="false">
      <c r="A50" s="8" t="s">
        <v>233</v>
      </c>
      <c r="B50" s="8" t="s">
        <v>225</v>
      </c>
      <c r="C50" s="14" t="s">
        <v>234</v>
      </c>
      <c r="D50" s="8" t="s">
        <v>235</v>
      </c>
      <c r="E50" s="8" t="s">
        <v>236</v>
      </c>
      <c r="F50" s="15" t="s">
        <v>11</v>
      </c>
      <c r="G50" s="16"/>
      <c r="H50" s="16"/>
      <c r="I50" s="16"/>
      <c r="J50" s="16" t="s">
        <v>5</v>
      </c>
    </row>
    <row r="51" customFormat="false" ht="23.85" hidden="false" customHeight="false" outlineLevel="0" collapsed="false">
      <c r="A51" s="8" t="s">
        <v>237</v>
      </c>
      <c r="B51" s="8" t="s">
        <v>225</v>
      </c>
      <c r="C51" s="14" t="s">
        <v>238</v>
      </c>
      <c r="D51" s="8" t="s">
        <v>239</v>
      </c>
      <c r="E51" s="8" t="s">
        <v>240</v>
      </c>
      <c r="F51" s="18" t="s">
        <v>15</v>
      </c>
      <c r="G51" s="16"/>
      <c r="H51" s="16"/>
      <c r="I51" s="16"/>
      <c r="J51" s="16" t="s">
        <v>5</v>
      </c>
    </row>
    <row r="52" customFormat="false" ht="23.85" hidden="false" customHeight="false" outlineLevel="0" collapsed="false">
      <c r="A52" s="8" t="s">
        <v>241</v>
      </c>
      <c r="B52" s="8" t="s">
        <v>225</v>
      </c>
      <c r="C52" s="14" t="s">
        <v>242</v>
      </c>
      <c r="D52" s="8" t="s">
        <v>243</v>
      </c>
      <c r="E52" s="8" t="s">
        <v>244</v>
      </c>
      <c r="F52" s="18" t="s">
        <v>15</v>
      </c>
      <c r="G52" s="16"/>
      <c r="H52" s="16"/>
      <c r="I52" s="16"/>
      <c r="J52" s="16" t="s">
        <v>5</v>
      </c>
    </row>
    <row r="53" customFormat="false" ht="23.85" hidden="false" customHeight="false" outlineLevel="0" collapsed="false">
      <c r="A53" s="8" t="s">
        <v>245</v>
      </c>
      <c r="B53" s="8" t="s">
        <v>246</v>
      </c>
      <c r="C53" s="14" t="s">
        <v>247</v>
      </c>
      <c r="D53" s="8" t="s">
        <v>248</v>
      </c>
      <c r="E53" s="8" t="s">
        <v>249</v>
      </c>
      <c r="F53" s="18" t="s">
        <v>15</v>
      </c>
      <c r="G53" s="16"/>
      <c r="H53" s="16"/>
      <c r="I53" s="16"/>
      <c r="J53" s="16" t="s">
        <v>5</v>
      </c>
    </row>
    <row r="54" customFormat="false" ht="23.85" hidden="false" customHeight="false" outlineLevel="0" collapsed="false">
      <c r="A54" s="8" t="s">
        <v>250</v>
      </c>
      <c r="B54" s="8" t="s">
        <v>246</v>
      </c>
      <c r="C54" s="14" t="s">
        <v>251</v>
      </c>
      <c r="D54" s="8" t="s">
        <v>252</v>
      </c>
      <c r="E54" s="8" t="s">
        <v>253</v>
      </c>
      <c r="F54" s="18" t="s">
        <v>15</v>
      </c>
      <c r="G54" s="16"/>
      <c r="H54" s="16"/>
      <c r="I54" s="16"/>
      <c r="J54" s="16" t="s">
        <v>5</v>
      </c>
    </row>
    <row r="55" customFormat="false" ht="23.85" hidden="false" customHeight="false" outlineLevel="0" collapsed="false">
      <c r="A55" s="8" t="s">
        <v>254</v>
      </c>
      <c r="B55" s="8" t="s">
        <v>246</v>
      </c>
      <c r="C55" s="14" t="s">
        <v>255</v>
      </c>
      <c r="D55" s="8" t="s">
        <v>256</v>
      </c>
      <c r="E55" s="8" t="s">
        <v>257</v>
      </c>
      <c r="F55" s="18" t="s">
        <v>15</v>
      </c>
      <c r="G55" s="16"/>
      <c r="H55" s="16"/>
      <c r="I55" s="16"/>
      <c r="J55" s="16" t="s">
        <v>5</v>
      </c>
    </row>
    <row r="56" customFormat="false" ht="23.85" hidden="false" customHeight="false" outlineLevel="0" collapsed="false">
      <c r="A56" s="8" t="s">
        <v>258</v>
      </c>
      <c r="B56" s="8" t="s">
        <v>246</v>
      </c>
      <c r="C56" s="14" t="s">
        <v>259</v>
      </c>
      <c r="D56" s="8" t="s">
        <v>260</v>
      </c>
      <c r="E56" s="8" t="s">
        <v>261</v>
      </c>
      <c r="F56" s="18" t="s">
        <v>15</v>
      </c>
      <c r="G56" s="16"/>
      <c r="H56" s="16"/>
      <c r="I56" s="16"/>
      <c r="J56" s="16" t="s">
        <v>5</v>
      </c>
    </row>
    <row r="57" customFormat="false" ht="23.85" hidden="false" customHeight="false" outlineLevel="0" collapsed="false">
      <c r="A57" s="8" t="s">
        <v>262</v>
      </c>
      <c r="B57" s="8" t="s">
        <v>246</v>
      </c>
      <c r="C57" s="14" t="s">
        <v>263</v>
      </c>
      <c r="D57" s="8" t="s">
        <v>264</v>
      </c>
      <c r="E57" s="8" t="s">
        <v>265</v>
      </c>
      <c r="F57" s="18" t="s">
        <v>15</v>
      </c>
      <c r="G57" s="16"/>
      <c r="H57" s="16"/>
      <c r="I57" s="16"/>
      <c r="J57" s="16" t="s">
        <v>5</v>
      </c>
    </row>
    <row r="58" customFormat="false" ht="23.85" hidden="false" customHeight="false" outlineLevel="0" collapsed="false">
      <c r="A58" s="8" t="s">
        <v>266</v>
      </c>
      <c r="B58" s="8" t="s">
        <v>246</v>
      </c>
      <c r="C58" s="14" t="s">
        <v>267</v>
      </c>
      <c r="D58" s="8" t="s">
        <v>268</v>
      </c>
      <c r="E58" s="8" t="s">
        <v>269</v>
      </c>
      <c r="F58" s="18" t="s">
        <v>15</v>
      </c>
      <c r="G58" s="16"/>
      <c r="H58" s="16"/>
      <c r="I58" s="16"/>
      <c r="J58" s="16" t="s">
        <v>5</v>
      </c>
    </row>
    <row r="59" customFormat="false" ht="23.85" hidden="false" customHeight="false" outlineLevel="0" collapsed="false">
      <c r="A59" s="8" t="s">
        <v>270</v>
      </c>
      <c r="B59" s="8" t="s">
        <v>271</v>
      </c>
      <c r="C59" s="14" t="s">
        <v>272</v>
      </c>
      <c r="D59" s="8" t="s">
        <v>273</v>
      </c>
      <c r="E59" s="8" t="s">
        <v>274</v>
      </c>
      <c r="F59" s="18" t="s">
        <v>15</v>
      </c>
      <c r="G59" s="16"/>
      <c r="H59" s="16"/>
      <c r="I59" s="16"/>
      <c r="J59" s="16" t="s">
        <v>5</v>
      </c>
    </row>
    <row r="60" customFormat="false" ht="23.85" hidden="false" customHeight="false" outlineLevel="0" collapsed="false">
      <c r="A60" s="8" t="s">
        <v>275</v>
      </c>
      <c r="B60" s="8" t="s">
        <v>271</v>
      </c>
      <c r="C60" s="14" t="s">
        <v>276</v>
      </c>
      <c r="D60" s="8" t="s">
        <v>277</v>
      </c>
      <c r="E60" s="8" t="s">
        <v>278</v>
      </c>
      <c r="F60" s="18" t="s">
        <v>15</v>
      </c>
      <c r="G60" s="16"/>
      <c r="H60" s="16"/>
      <c r="I60" s="16"/>
      <c r="J60" s="16" t="s">
        <v>5</v>
      </c>
    </row>
    <row r="61" customFormat="false" ht="23.85" hidden="false" customHeight="false" outlineLevel="0" collapsed="false">
      <c r="A61" s="8" t="s">
        <v>279</v>
      </c>
      <c r="B61" s="8" t="s">
        <v>271</v>
      </c>
      <c r="C61" s="14" t="s">
        <v>280</v>
      </c>
      <c r="D61" s="8" t="s">
        <v>281</v>
      </c>
      <c r="E61" s="8" t="s">
        <v>282</v>
      </c>
      <c r="F61" s="19" t="s">
        <v>17</v>
      </c>
      <c r="G61" s="16"/>
      <c r="H61" s="16"/>
      <c r="I61" s="16"/>
      <c r="J61" s="16" t="s">
        <v>5</v>
      </c>
    </row>
    <row r="62" customFormat="false" ht="23.85" hidden="false" customHeight="false" outlineLevel="0" collapsed="false">
      <c r="A62" s="8" t="s">
        <v>283</v>
      </c>
      <c r="B62" s="8" t="s">
        <v>271</v>
      </c>
      <c r="C62" s="14" t="s">
        <v>284</v>
      </c>
      <c r="D62" s="8" t="s">
        <v>285</v>
      </c>
      <c r="E62" s="8" t="s">
        <v>286</v>
      </c>
      <c r="F62" s="18" t="s">
        <v>15</v>
      </c>
      <c r="G62" s="16"/>
      <c r="H62" s="16"/>
      <c r="I62" s="16"/>
      <c r="J62" s="16" t="s">
        <v>5</v>
      </c>
    </row>
    <row r="63" customFormat="false" ht="23.85" hidden="false" customHeight="false" outlineLevel="0" collapsed="false">
      <c r="A63" s="8" t="s">
        <v>287</v>
      </c>
      <c r="B63" s="8" t="s">
        <v>271</v>
      </c>
      <c r="C63" s="14" t="s">
        <v>288</v>
      </c>
      <c r="D63" s="8" t="s">
        <v>289</v>
      </c>
      <c r="E63" s="8" t="s">
        <v>290</v>
      </c>
      <c r="F63" s="18" t="s">
        <v>15</v>
      </c>
      <c r="G63" s="16"/>
      <c r="H63" s="16"/>
      <c r="I63" s="16"/>
      <c r="J63" s="16" t="s">
        <v>5</v>
      </c>
    </row>
    <row r="64" customFormat="false" ht="23.85" hidden="false" customHeight="false" outlineLevel="0" collapsed="false">
      <c r="A64" s="8" t="s">
        <v>291</v>
      </c>
      <c r="B64" s="8" t="s">
        <v>292</v>
      </c>
      <c r="C64" s="14" t="s">
        <v>293</v>
      </c>
      <c r="D64" s="8" t="s">
        <v>294</v>
      </c>
      <c r="E64" s="8" t="s">
        <v>295</v>
      </c>
      <c r="F64" s="18" t="s">
        <v>15</v>
      </c>
      <c r="G64" s="16"/>
      <c r="H64" s="16"/>
      <c r="I64" s="16"/>
      <c r="J64" s="16" t="s">
        <v>5</v>
      </c>
    </row>
    <row r="65" customFormat="false" ht="23.85" hidden="false" customHeight="false" outlineLevel="0" collapsed="false">
      <c r="A65" s="8" t="s">
        <v>296</v>
      </c>
      <c r="B65" s="8" t="s">
        <v>292</v>
      </c>
      <c r="C65" s="14" t="s">
        <v>297</v>
      </c>
      <c r="D65" s="8" t="s">
        <v>298</v>
      </c>
      <c r="E65" s="8" t="s">
        <v>299</v>
      </c>
      <c r="F65" s="18" t="s">
        <v>15</v>
      </c>
      <c r="G65" s="16"/>
      <c r="H65" s="16"/>
      <c r="I65" s="16"/>
      <c r="J65" s="16" t="s">
        <v>5</v>
      </c>
    </row>
    <row r="66" customFormat="false" ht="23.85" hidden="false" customHeight="false" outlineLevel="0" collapsed="false">
      <c r="A66" s="8" t="s">
        <v>300</v>
      </c>
      <c r="B66" s="8" t="s">
        <v>292</v>
      </c>
      <c r="C66" s="14" t="s">
        <v>301</v>
      </c>
      <c r="D66" s="8" t="s">
        <v>302</v>
      </c>
      <c r="E66" s="8" t="s">
        <v>303</v>
      </c>
      <c r="F66" s="18" t="s">
        <v>15</v>
      </c>
      <c r="G66" s="16"/>
      <c r="H66" s="16"/>
      <c r="I66" s="16"/>
      <c r="J66" s="16" t="s">
        <v>5</v>
      </c>
    </row>
    <row r="67" customFormat="false" ht="23.85" hidden="false" customHeight="false" outlineLevel="0" collapsed="false">
      <c r="A67" s="8" t="s">
        <v>304</v>
      </c>
      <c r="B67" s="8" t="s">
        <v>292</v>
      </c>
      <c r="C67" s="14" t="s">
        <v>305</v>
      </c>
      <c r="D67" s="8" t="s">
        <v>306</v>
      </c>
      <c r="E67" s="8" t="s">
        <v>307</v>
      </c>
      <c r="F67" s="15" t="s">
        <v>11</v>
      </c>
      <c r="G67" s="16"/>
      <c r="H67" s="16"/>
      <c r="I67" s="16"/>
      <c r="J67" s="16" t="s">
        <v>5</v>
      </c>
    </row>
  </sheetData>
  <autoFilter ref="A1:J67"/>
  <dataValidations count="1">
    <dataValidation allowBlank="true" errorStyle="stop" operator="between" showDropDown="false" showErrorMessage="false" showInputMessage="false" sqref="J2:J67" type="list">
      <formula1>"Open,In Progress,Decided,Deferred"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2026-07-13T18:31:01Z</dcterms:created>
  <dc:creator>openpyxl</dc:creator>
  <dc:description/>
  <dc:language>en-US</dc:language>
  <cp:lastModifiedBy/>
  <dcterms:modified xsi:type="dcterms:W3CDTF">2026-07-13T18:31:02Z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