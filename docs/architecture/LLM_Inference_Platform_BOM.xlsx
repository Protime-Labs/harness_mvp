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ption A - Pilot" sheetId="2" state="visible" r:id="rId4"/>
    <sheet name="Option B - Baseline" sheetId="3" state="visible" r:id="rId5"/>
    <sheet name="Option C - Premiu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<sst xmlns="http://schemas.openxmlformats.org/spreadsheetml/2006/main" count="299" uniqueCount="137">
  <si>
    <t xml:space="preserve">Local LLM Inference Platform — Bill of Materials</t>
  </si>
  <si>
    <t xml:space="preserve">Prepared from hardware specification; three deployment footprints. All pricing is budgetary estimate — validate with vendor quotes.</t>
  </si>
  <si>
    <t xml:space="preserve">Footprint</t>
  </si>
  <si>
    <t xml:space="preserve">Description</t>
  </si>
  <si>
    <t xml:space="preserve">Key Compute</t>
  </si>
  <si>
    <t xml:space="preserve">Budgetary Total (USD)</t>
  </si>
  <si>
    <t xml:space="preserve">Option A - Pilot</t>
  </si>
  <si>
    <t xml:space="preserve">Pilot rack node for lab validation</t>
  </si>
  <si>
    <t xml:space="preserve">1x L40S 48GB, 256GB RAM, ~8TB NVMe</t>
  </si>
  <si>
    <t xml:space="preserve">Option B - Baseline</t>
  </si>
  <si>
    <t xml:space="preserve">Enterprise baseline (recommended default)</t>
  </si>
  <si>
    <t xml:space="preserve">2x L40S 48GB, 512GB RAM, 15-30TB NVMe</t>
  </si>
  <si>
    <t xml:space="preserve">Option C - Premium</t>
  </si>
  <si>
    <t xml:space="preserve">Production / premium, multi-user</t>
  </si>
  <si>
    <t xml:space="preserve">2 nodes x 4x L40S (or H100/H200), 100GbE</t>
  </si>
  <si>
    <t xml:space="preserve">Legend</t>
  </si>
  <si>
    <t xml:space="preserve">Blue text</t>
  </si>
  <si>
    <t xml:space="preserve">Editable input (quantity, estimated unit price) — adjust to vendor quote</t>
  </si>
  <si>
    <t xml:space="preserve">Black text</t>
  </si>
  <si>
    <t xml:space="preserve">Formula (extended price, totals) — do not overwrite</t>
  </si>
  <si>
    <t xml:space="preserve">Green text</t>
  </si>
  <si>
    <t xml:space="preserve">Link to another sheet</t>
  </si>
  <si>
    <t xml:space="preserve">Notes</t>
  </si>
  <si>
    <t xml:space="preserve">Unit prices are preparer's budgetary estimates (typical street/list ranges, July 2026); not vendor quotes.</t>
  </si>
  <si>
    <t xml:space="preserve">Firewall vendor (Cisco/Palo Alto/Fortinet/Juniper class) should follow AT&amp;T approved-vendor and procurement fit.</t>
  </si>
  <si>
    <t xml:space="preserve">Option C GPU line assumes L40S; substituting H100 80GB (~$28-32K ea) or H200 141GB materially changes total.</t>
  </si>
  <si>
    <t xml:space="preserve">Software, licensing (NGFW subscriptions, OS, support contracts), installation labor, and DC hosting fees are excluded.</t>
  </si>
  <si>
    <t xml:space="preserve">Option A — Pilot Rack Node (Lab Validation)</t>
  </si>
  <si>
    <t xml:space="preserve">Use case: Single team, proof of concept, 7B-34B models, quantized 70B testing</t>
  </si>
  <si>
    <t xml:space="preserve">Pricing is budgetary estimate only (blue cells = editable inputs provided by preparer); validate all pricing against vendor quotes and AT&amp;T approved-vendor/procurement lists.</t>
  </si>
  <si>
    <t xml:space="preserve">Item #</t>
  </si>
  <si>
    <t xml:space="preserve">Category</t>
  </si>
  <si>
    <t xml:space="preserve">Item</t>
  </si>
  <si>
    <t xml:space="preserve">Specification / Notes</t>
  </si>
  <si>
    <t xml:space="preserve">Qty</t>
  </si>
  <si>
    <t xml:space="preserve">Unit</t>
  </si>
  <si>
    <t xml:space="preserve">Est. Unit Price (USD)</t>
  </si>
  <si>
    <t xml:space="preserve">Ext. Price (USD)</t>
  </si>
  <si>
    <t xml:space="preserve">GPU Compute Server</t>
  </si>
  <si>
    <t xml:space="preserve">4U rackmount GPU server (barebone)</t>
  </si>
  <si>
    <t xml:space="preserve">4U chassis, GPU-optimized, redundant 1600W+ PSUs, BMC/IPMI included</t>
  </si>
  <si>
    <t xml:space="preserve">ea</t>
  </si>
  <si>
    <t xml:space="preserve">Server CPU</t>
  </si>
  <si>
    <t xml:space="preserve">AMD EPYC 32-core (or dual Xeon equivalent, 32-64 cores total)</t>
  </si>
  <si>
    <t xml:space="preserve">System memory - 256GB ECC</t>
  </si>
  <si>
    <t xml:space="preserve">8x 32GB DDR5 ECC RDIMM</t>
  </si>
  <si>
    <t xml:space="preserve">NVIDIA L40S 48GB GPU</t>
  </si>
  <si>
    <t xml:space="preserve">PCIe Gen4, 48GB GDDR6, passive datacenter cooling</t>
  </si>
  <si>
    <t xml:space="preserve">OS storage - NVMe SSD 1.92TB</t>
  </si>
  <si>
    <t xml:space="preserve">Enterprise NVMe, RAID1 boot pair</t>
  </si>
  <si>
    <t xml:space="preserve">Model/data storage - NVMe 3.84TB</t>
  </si>
  <si>
    <t xml:space="preserve">Enterprise U.2/E1.S NVMe (~8TB usable)</t>
  </si>
  <si>
    <t xml:space="preserve">25GbE NIC</t>
  </si>
  <si>
    <t xml:space="preserve">Dual-port SFP28 (e.g., ConnectX-6 Lx class)</t>
  </si>
  <si>
    <t xml:space="preserve">Network Switching</t>
  </si>
  <si>
    <t xml:space="preserve">25GbE top-of-rack switch</t>
  </si>
  <si>
    <t xml:space="preserve">24-32x SFP28 ports, 100GbE uplinks, VLAN/LACP/QoS/SNMP</t>
  </si>
  <si>
    <t xml:space="preserve">Routing / Firewall</t>
  </si>
  <si>
    <t xml:space="preserve">Enterprise NGFW appliance</t>
  </si>
  <si>
    <t xml:space="preserve">10Gbps+ class; VPN, IDS/IPS, VLAN routing, logging (vendor per approved list)</t>
  </si>
  <si>
    <t xml:space="preserve">Management</t>
  </si>
  <si>
    <t xml:space="preserve">1GbE management switch</t>
  </si>
  <si>
    <t xml:space="preserve">24-port, out-of-band BMC/iDRAC/iLO network</t>
  </si>
  <si>
    <t xml:space="preserve">Power</t>
  </si>
  <si>
    <t xml:space="preserve">Online UPS, rackmount</t>
  </si>
  <si>
    <t xml:space="preserve">3kVA online double-conversion, network card</t>
  </si>
  <si>
    <t xml:space="preserve">Metered/switched PDU</t>
  </si>
  <si>
    <t xml:space="preserve">Rackmount, C13/C19 outlets</t>
  </si>
  <si>
    <t xml:space="preserve">Rack / Environment</t>
  </si>
  <si>
    <t xml:space="preserve">Rack sensors</t>
  </si>
  <si>
    <t xml:space="preserve">Temperature/humidity monitoring</t>
  </si>
  <si>
    <t xml:space="preserve">set</t>
  </si>
  <si>
    <t xml:space="preserve">Cabling / Optics</t>
  </si>
  <si>
    <t xml:space="preserve">SFP28 25GbE DAC cables</t>
  </si>
  <si>
    <t xml:space="preserve">In-rack server/switch connections, 1-3m</t>
  </si>
  <si>
    <t xml:space="preserve">Cat6A patch cables</t>
  </si>
  <si>
    <t xml:space="preserve">Management network</t>
  </si>
  <si>
    <t xml:space="preserve">Power cables (C13/C14, C19/C20)</t>
  </si>
  <si>
    <t xml:space="preserve">Server, switch, PDU power</t>
  </si>
  <si>
    <t xml:space="preserve">Spare optics/DACs</t>
  </si>
  <si>
    <t xml:space="preserve">On-site spares</t>
  </si>
  <si>
    <t xml:space="preserve">TOTAL - BUDGETARY ESTIMATE</t>
  </si>
  <si>
    <t xml:space="preserve">Option B — Enterprise Baseline (Recommended)</t>
  </si>
  <si>
    <t xml:space="preserve">Use case: Shared inference, private RAG, internal API, multiple models, quantized 70B</t>
  </si>
  <si>
    <t xml:space="preserve">4U chassis, GPU-optimized, redundant 1600-2400W PSUs, BMC/IPMI included</t>
  </si>
  <si>
    <t xml:space="preserve">Server CPUs</t>
  </si>
  <si>
    <t xml:space="preserve">2x AMD EPYC 32-core (or dual Xeon equivalent, 32-64 cores total)</t>
  </si>
  <si>
    <t xml:space="preserve">System memory - 512GB ECC</t>
  </si>
  <si>
    <t xml:space="preserve">16x 32GB DDR5 ECC RDIMM</t>
  </si>
  <si>
    <t xml:space="preserve">Model/data storage - NVMe 7.68TB</t>
  </si>
  <si>
    <t xml:space="preserve">Enterprise U.2/E1.S NVMe (~30TB raw; 15TB+ usable target)</t>
  </si>
  <si>
    <t xml:space="preserve">24-32x SFP28 ports, 2-4x 100GbE uplinks, VLAN/LACP/QoS/ACL/SNMP</t>
  </si>
  <si>
    <t xml:space="preserve">10-25Gbps class; VPN, IDS/IPS, VLAN routing, SIEM integration (vendor per AT&amp;T approved list)</t>
  </si>
  <si>
    <t xml:space="preserve">Monitoring/logging node</t>
  </si>
  <si>
    <t xml:space="preserve">1U server or VM host: Prometheus/Grafana, DCGM exporter, syslog forward</t>
  </si>
  <si>
    <t xml:space="preserve">5-6kVA online double-conversion, network card, sized for GPU load</t>
  </si>
  <si>
    <t xml:space="preserve">Metered/switched PDU (A/B feeds)</t>
  </si>
  <si>
    <t xml:space="preserve">42U enterprise rack</t>
  </si>
  <si>
    <t xml:space="preserve">Or assigned DC rack space; blanking panels + cable management included</t>
  </si>
  <si>
    <t xml:space="preserve">Temperature/humidity monitoring; optional leak detection per DC standard</t>
  </si>
  <si>
    <t xml:space="preserve">In-rack server/switch/firewall connections, 1-3m</t>
  </si>
  <si>
    <t xml:space="preserve">QSFP28 100GbE uplink optics/DAC</t>
  </si>
  <si>
    <t xml:space="preserve">Uplinks into enterprise fabric</t>
  </si>
  <si>
    <t xml:space="preserve">Server, switch, firewall, PDU power</t>
  </si>
  <si>
    <t xml:space="preserve">Option C — Production / Premium</t>
  </si>
  <si>
    <t xml:space="preserve">Use case: Production inference service, higher concurrency, SLA-backed internal deployment</t>
  </si>
  <si>
    <t xml:space="preserve">GPU Compute Servers</t>
  </si>
  <si>
    <t xml:space="preserve">4U chassis, 4-GPU capable, redundant 2400W+ PSUs, BMC/IPMI</t>
  </si>
  <si>
    <t xml:space="preserve">2x AMD EPYC 32-64 core per node (4 total)</t>
  </si>
  <si>
    <t xml:space="preserve">System memory - 768GB ECC per node</t>
  </si>
  <si>
    <t xml:space="preserve">24x 32GB DDR5 ECC RDIMM per node (512GB-1TB range)</t>
  </si>
  <si>
    <t xml:space="preserve">4 per node; H100 80GB (~$28-32K ea) or H200 141GB as premium alternative</t>
  </si>
  <si>
    <t xml:space="preserve">RAID1 boot pair per node</t>
  </si>
  <si>
    <t xml:space="preserve">30TB+ raw per node</t>
  </si>
  <si>
    <t xml:space="preserve">100GbE NIC</t>
  </si>
  <si>
    <t xml:space="preserve">Dual-port QSFP28 (e.g., ConnectX-6 Dx class), one per node</t>
  </si>
  <si>
    <t xml:space="preserve">100GbE top-of-rack switch (redundant pair)</t>
  </si>
  <si>
    <t xml:space="preserve">32x QSFP28, MLAG/redundant pair for production</t>
  </si>
  <si>
    <t xml:space="preserve">Enterprise NGFW - HA active/passive pair</t>
  </si>
  <si>
    <t xml:space="preserve">25Gbps class; VPN, IDS/IPS, SIEM integration (vendor per AT&amp;T approved list)</t>
  </si>
  <si>
    <t xml:space="preserve">Storage</t>
  </si>
  <si>
    <t xml:space="preserve">Dedicated shared storage (NAS/object)</t>
  </si>
  <si>
    <t xml:space="preserve">All-flash or hybrid array for shared documents, vector DB, model repo</t>
  </si>
  <si>
    <t xml:space="preserve">Enterprise backup target</t>
  </si>
  <si>
    <t xml:space="preserve">Separate backup appliance/target from GPU nodes</t>
  </si>
  <si>
    <t xml:space="preserve">48-port, out-of-band BMC network</t>
  </si>
  <si>
    <t xml:space="preserve">Observability/security logging node</t>
  </si>
  <si>
    <t xml:space="preserve">Prometheus/Grafana, DCGM, syslog/SIEM forwarders</t>
  </si>
  <si>
    <t xml:space="preserve">8-10kVA online, sized for multi-GPU load; A/B feeds preferred</t>
  </si>
  <si>
    <t xml:space="preserve">High-density rackmount, C13/C19</t>
  </si>
  <si>
    <t xml:space="preserve">Power/cooling validation required for 2x 4-GPU nodes</t>
  </si>
  <si>
    <t xml:space="preserve">Temperature/humidity; leak detection per DC standard</t>
  </si>
  <si>
    <t xml:space="preserve">QSFP28 100GbE DAC cables</t>
  </si>
  <si>
    <t xml:space="preserve">In-rack node/switch connections</t>
  </si>
  <si>
    <t xml:space="preserve">100GbE fiber optics + fiber</t>
  </si>
  <si>
    <t xml:space="preserve">Uplinks and inter-switch links</t>
  </si>
  <si>
    <t xml:space="preserve">All devices to PDUs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</si>
</sst>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4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s">
        <v>8</v>
      </c>
      <c r="D5" s="6" t="n">
        <f aca="false">'Option A - Pilot'!H23</f>
        <v>47950</v>
      </c>
    </row>
    <row r="6" customFormat="false" ht="15" hidden="false" customHeight="false" outlineLevel="0" collapsed="false">
      <c r="A6" s="4" t="s">
        <v>9</v>
      </c>
      <c r="B6" s="5" t="s">
        <v>10</v>
      </c>
      <c r="C6" s="5" t="s">
        <v>11</v>
      </c>
      <c r="D6" s="6" t="n">
        <f aca="false">'Option B - Baseline'!H26</f>
        <v>80270</v>
      </c>
    </row>
    <row r="7" customFormat="false" ht="15" hidden="false" customHeight="false" outlineLevel="0" collapsed="false">
      <c r="A7" s="4" t="s">
        <v>12</v>
      </c>
      <c r="B7" s="5" t="s">
        <v>13</v>
      </c>
      <c r="C7" s="5" t="s">
        <v>14</v>
      </c>
      <c r="D7" s="6" t="n">
        <f aca="false">'Option C - Premium'!H28</f>
        <v>278400</v>
      </c>
    </row>
    <row r="9" customFormat="false" ht="15" hidden="false" customHeight="false" outlineLevel="0" collapsed="false">
      <c r="A9" s="7" t="s">
        <v>15</v>
      </c>
    </row>
    <row r="10" customFormat="false" ht="15" hidden="false" customHeight="false" outlineLevel="0" collapsed="false">
      <c r="A10" s="8" t="s">
        <v>16</v>
      </c>
      <c r="B10" s="9" t="s">
        <v>17</v>
      </c>
    </row>
    <row r="11" customFormat="false" ht="15" hidden="false" customHeight="false" outlineLevel="0" collapsed="false">
      <c r="A11" s="9" t="s">
        <v>18</v>
      </c>
      <c r="B11" s="9" t="s">
        <v>19</v>
      </c>
    </row>
    <row r="12" customFormat="false" ht="15" hidden="false" customHeight="false" outlineLevel="0" collapsed="false">
      <c r="A12" s="10" t="s">
        <v>20</v>
      </c>
      <c r="B12" s="9" t="s">
        <v>21</v>
      </c>
    </row>
    <row r="14" customFormat="false" ht="15" hidden="false" customHeight="false" outlineLevel="0" collapsed="false">
      <c r="A14" s="7" t="s">
        <v>22</v>
      </c>
    </row>
    <row r="15" customFormat="false" ht="15" hidden="false" customHeight="false" outlineLevel="0" collapsed="false">
      <c r="B15" s="9" t="s">
        <v>23</v>
      </c>
    </row>
    <row r="16" customFormat="false" ht="15" hidden="false" customHeight="false" outlineLevel="0" collapsed="false">
      <c r="B16" s="9" t="s">
        <v>24</v>
      </c>
    </row>
    <row r="17" customFormat="false" ht="15" hidden="false" customHeight="false" outlineLevel="0" collapsed="false">
      <c r="B17" s="9" t="s">
        <v>25</v>
      </c>
    </row>
    <row r="18" customFormat="false" ht="15" hidden="false" customHeight="false" outlineLevel="0" collapsed="false">
      <c r="B18" s="9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56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3" customFormat="false" ht="15" hidden="false" customHeight="false" outlineLevel="0" collapsed="false">
      <c r="A3" s="2" t="s">
        <v>29</v>
      </c>
    </row>
    <row r="5" customFormat="false" ht="15" hidden="false" customHeight="false" outlineLevel="0" collapsed="false">
      <c r="A5" s="11" t="s">
        <v>30</v>
      </c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 t="s">
        <v>36</v>
      </c>
      <c r="H5" s="11" t="s">
        <v>37</v>
      </c>
    </row>
    <row r="6" customFormat="false" ht="23.85" hidden="false" customHeight="false" outlineLevel="0" collapsed="false">
      <c r="A6" s="5" t="n">
        <v>1</v>
      </c>
      <c r="B6" s="4" t="s">
        <v>38</v>
      </c>
      <c r="C6" s="5" t="s">
        <v>39</v>
      </c>
      <c r="D6" s="12" t="s">
        <v>40</v>
      </c>
      <c r="E6" s="13" t="n">
        <v>1</v>
      </c>
      <c r="F6" s="14" t="s">
        <v>41</v>
      </c>
      <c r="G6" s="15" t="n">
        <v>8500</v>
      </c>
      <c r="H6" s="16" t="n">
        <f aca="false">E6*G6</f>
        <v>8500</v>
      </c>
    </row>
    <row r="7" customFormat="false" ht="15" hidden="false" customHeight="false" outlineLevel="0" collapsed="false">
      <c r="A7" s="5" t="n">
        <v>2</v>
      </c>
      <c r="B7" s="5" t="s">
        <v>38</v>
      </c>
      <c r="C7" s="5" t="s">
        <v>42</v>
      </c>
      <c r="D7" s="12" t="s">
        <v>43</v>
      </c>
      <c r="E7" s="13" t="n">
        <v>1</v>
      </c>
      <c r="F7" s="14" t="s">
        <v>41</v>
      </c>
      <c r="G7" s="15" t="n">
        <v>3000</v>
      </c>
      <c r="H7" s="16" t="n">
        <f aca="false">E7*G7</f>
        <v>3000</v>
      </c>
    </row>
    <row r="8" customFormat="false" ht="15" hidden="false" customHeight="false" outlineLevel="0" collapsed="false">
      <c r="A8" s="5" t="n">
        <v>3</v>
      </c>
      <c r="B8" s="5" t="s">
        <v>38</v>
      </c>
      <c r="C8" s="5" t="s">
        <v>44</v>
      </c>
      <c r="D8" s="12" t="s">
        <v>45</v>
      </c>
      <c r="E8" s="13" t="n">
        <v>8</v>
      </c>
      <c r="F8" s="14" t="s">
        <v>41</v>
      </c>
      <c r="G8" s="15" t="n">
        <v>220</v>
      </c>
      <c r="H8" s="16" t="n">
        <f aca="false">E8*G8</f>
        <v>1760</v>
      </c>
    </row>
    <row r="9" customFormat="false" ht="15" hidden="false" customHeight="false" outlineLevel="0" collapsed="false">
      <c r="A9" s="5" t="n">
        <v>4</v>
      </c>
      <c r="B9" s="5" t="s">
        <v>38</v>
      </c>
      <c r="C9" s="5" t="s">
        <v>46</v>
      </c>
      <c r="D9" s="12" t="s">
        <v>47</v>
      </c>
      <c r="E9" s="13" t="n">
        <v>1</v>
      </c>
      <c r="F9" s="14" t="s">
        <v>41</v>
      </c>
      <c r="G9" s="15" t="n">
        <v>9000</v>
      </c>
      <c r="H9" s="16" t="n">
        <f aca="false">E9*G9</f>
        <v>9000</v>
      </c>
    </row>
    <row r="10" customFormat="false" ht="15" hidden="false" customHeight="false" outlineLevel="0" collapsed="false">
      <c r="A10" s="5" t="n">
        <v>5</v>
      </c>
      <c r="B10" s="5" t="s">
        <v>38</v>
      </c>
      <c r="C10" s="5" t="s">
        <v>48</v>
      </c>
      <c r="D10" s="12" t="s">
        <v>49</v>
      </c>
      <c r="E10" s="13" t="n">
        <v>2</v>
      </c>
      <c r="F10" s="14" t="s">
        <v>41</v>
      </c>
      <c r="G10" s="15" t="n">
        <v>350</v>
      </c>
      <c r="H10" s="16" t="n">
        <f aca="false">E10*G10</f>
        <v>700</v>
      </c>
    </row>
    <row r="11" customFormat="false" ht="15" hidden="false" customHeight="false" outlineLevel="0" collapsed="false">
      <c r="A11" s="5" t="n">
        <v>6</v>
      </c>
      <c r="B11" s="5" t="s">
        <v>38</v>
      </c>
      <c r="C11" s="5" t="s">
        <v>50</v>
      </c>
      <c r="D11" s="12" t="s">
        <v>51</v>
      </c>
      <c r="E11" s="13" t="n">
        <v>2</v>
      </c>
      <c r="F11" s="14" t="s">
        <v>41</v>
      </c>
      <c r="G11" s="15" t="n">
        <v>550</v>
      </c>
      <c r="H11" s="16" t="n">
        <f aca="false">E11*G11</f>
        <v>1100</v>
      </c>
    </row>
    <row r="12" customFormat="false" ht="15" hidden="false" customHeight="false" outlineLevel="0" collapsed="false">
      <c r="A12" s="5" t="n">
        <v>7</v>
      </c>
      <c r="B12" s="5" t="s">
        <v>38</v>
      </c>
      <c r="C12" s="5" t="s">
        <v>52</v>
      </c>
      <c r="D12" s="12" t="s">
        <v>53</v>
      </c>
      <c r="E12" s="13" t="n">
        <v>1</v>
      </c>
      <c r="F12" s="14" t="s">
        <v>41</v>
      </c>
      <c r="G12" s="15" t="n">
        <v>600</v>
      </c>
      <c r="H12" s="16" t="n">
        <f aca="false">E12*G12</f>
        <v>600</v>
      </c>
    </row>
    <row r="13" customFormat="false" ht="15" hidden="false" customHeight="false" outlineLevel="0" collapsed="false">
      <c r="A13" s="5" t="n">
        <v>8</v>
      </c>
      <c r="B13" s="4" t="s">
        <v>54</v>
      </c>
      <c r="C13" s="5" t="s">
        <v>55</v>
      </c>
      <c r="D13" s="12" t="s">
        <v>56</v>
      </c>
      <c r="E13" s="13" t="n">
        <v>1</v>
      </c>
      <c r="F13" s="14" t="s">
        <v>41</v>
      </c>
      <c r="G13" s="15" t="n">
        <v>8000</v>
      </c>
      <c r="H13" s="16" t="n">
        <f aca="false">E13*G13</f>
        <v>8000</v>
      </c>
    </row>
    <row r="14" customFormat="false" ht="23.85" hidden="false" customHeight="false" outlineLevel="0" collapsed="false">
      <c r="A14" s="5" t="n">
        <v>9</v>
      </c>
      <c r="B14" s="4" t="s">
        <v>57</v>
      </c>
      <c r="C14" s="5" t="s">
        <v>58</v>
      </c>
      <c r="D14" s="12" t="s">
        <v>59</v>
      </c>
      <c r="E14" s="13" t="n">
        <v>1</v>
      </c>
      <c r="F14" s="14" t="s">
        <v>41</v>
      </c>
      <c r="G14" s="15" t="n">
        <v>9000</v>
      </c>
      <c r="H14" s="16" t="n">
        <f aca="false">E14*G14</f>
        <v>9000</v>
      </c>
    </row>
    <row r="15" customFormat="false" ht="15" hidden="false" customHeight="false" outlineLevel="0" collapsed="false">
      <c r="A15" s="5" t="n">
        <v>10</v>
      </c>
      <c r="B15" s="4" t="s">
        <v>60</v>
      </c>
      <c r="C15" s="5" t="s">
        <v>61</v>
      </c>
      <c r="D15" s="12" t="s">
        <v>62</v>
      </c>
      <c r="E15" s="13" t="n">
        <v>1</v>
      </c>
      <c r="F15" s="14" t="s">
        <v>41</v>
      </c>
      <c r="G15" s="15" t="n">
        <v>1200</v>
      </c>
      <c r="H15" s="16" t="n">
        <f aca="false">E15*G15</f>
        <v>1200</v>
      </c>
    </row>
    <row r="16" customFormat="false" ht="15" hidden="false" customHeight="false" outlineLevel="0" collapsed="false">
      <c r="A16" s="5" t="n">
        <v>11</v>
      </c>
      <c r="B16" s="4" t="s">
        <v>63</v>
      </c>
      <c r="C16" s="5" t="s">
        <v>64</v>
      </c>
      <c r="D16" s="12" t="s">
        <v>65</v>
      </c>
      <c r="E16" s="13" t="n">
        <v>1</v>
      </c>
      <c r="F16" s="14" t="s">
        <v>41</v>
      </c>
      <c r="G16" s="15" t="n">
        <v>3000</v>
      </c>
      <c r="H16" s="16" t="n">
        <f aca="false">E16*G16</f>
        <v>3000</v>
      </c>
    </row>
    <row r="17" customFormat="false" ht="15" hidden="false" customHeight="false" outlineLevel="0" collapsed="false">
      <c r="A17" s="5" t="n">
        <v>12</v>
      </c>
      <c r="B17" s="5" t="s">
        <v>63</v>
      </c>
      <c r="C17" s="5" t="s">
        <v>66</v>
      </c>
      <c r="D17" s="12" t="s">
        <v>67</v>
      </c>
      <c r="E17" s="13" t="n">
        <v>1</v>
      </c>
      <c r="F17" s="14" t="s">
        <v>41</v>
      </c>
      <c r="G17" s="15" t="n">
        <v>1100</v>
      </c>
      <c r="H17" s="16" t="n">
        <f aca="false">E17*G17</f>
        <v>1100</v>
      </c>
    </row>
    <row r="18" customFormat="false" ht="15" hidden="false" customHeight="false" outlineLevel="0" collapsed="false">
      <c r="A18" s="5" t="n">
        <v>13</v>
      </c>
      <c r="B18" s="4" t="s">
        <v>68</v>
      </c>
      <c r="C18" s="5" t="s">
        <v>69</v>
      </c>
      <c r="D18" s="12" t="s">
        <v>70</v>
      </c>
      <c r="E18" s="13" t="n">
        <v>1</v>
      </c>
      <c r="F18" s="14" t="s">
        <v>71</v>
      </c>
      <c r="G18" s="15" t="n">
        <v>400</v>
      </c>
      <c r="H18" s="16" t="n">
        <f aca="false">E18*G18</f>
        <v>400</v>
      </c>
    </row>
    <row r="19" customFormat="false" ht="15" hidden="false" customHeight="false" outlineLevel="0" collapsed="false">
      <c r="A19" s="5" t="n">
        <v>14</v>
      </c>
      <c r="B19" s="4" t="s">
        <v>72</v>
      </c>
      <c r="C19" s="5" t="s">
        <v>73</v>
      </c>
      <c r="D19" s="12" t="s">
        <v>74</v>
      </c>
      <c r="E19" s="13" t="n">
        <v>4</v>
      </c>
      <c r="F19" s="14" t="s">
        <v>41</v>
      </c>
      <c r="G19" s="15" t="n">
        <v>60</v>
      </c>
      <c r="H19" s="16" t="n">
        <f aca="false">E19*G19</f>
        <v>240</v>
      </c>
    </row>
    <row r="20" customFormat="false" ht="15" hidden="false" customHeight="false" outlineLevel="0" collapsed="false">
      <c r="A20" s="5" t="n">
        <v>15</v>
      </c>
      <c r="B20" s="5" t="s">
        <v>72</v>
      </c>
      <c r="C20" s="5" t="s">
        <v>75</v>
      </c>
      <c r="D20" s="12" t="s">
        <v>76</v>
      </c>
      <c r="E20" s="13" t="n">
        <v>8</v>
      </c>
      <c r="F20" s="14" t="s">
        <v>41</v>
      </c>
      <c r="G20" s="15" t="n">
        <v>10</v>
      </c>
      <c r="H20" s="16" t="n">
        <f aca="false">E20*G20</f>
        <v>80</v>
      </c>
    </row>
    <row r="21" customFormat="false" ht="15" hidden="false" customHeight="false" outlineLevel="0" collapsed="false">
      <c r="A21" s="5" t="n">
        <v>16</v>
      </c>
      <c r="B21" s="5" t="s">
        <v>72</v>
      </c>
      <c r="C21" s="5" t="s">
        <v>77</v>
      </c>
      <c r="D21" s="12" t="s">
        <v>78</v>
      </c>
      <c r="E21" s="13" t="n">
        <v>8</v>
      </c>
      <c r="F21" s="14" t="s">
        <v>41</v>
      </c>
      <c r="G21" s="15" t="n">
        <v>15</v>
      </c>
      <c r="H21" s="16" t="n">
        <f aca="false">E21*G21</f>
        <v>120</v>
      </c>
    </row>
    <row r="22" customFormat="false" ht="15" hidden="false" customHeight="false" outlineLevel="0" collapsed="false">
      <c r="A22" s="5" t="n">
        <v>17</v>
      </c>
      <c r="B22" s="5" t="s">
        <v>72</v>
      </c>
      <c r="C22" s="5" t="s">
        <v>79</v>
      </c>
      <c r="D22" s="12" t="s">
        <v>80</v>
      </c>
      <c r="E22" s="13" t="n">
        <v>2</v>
      </c>
      <c r="F22" s="14" t="s">
        <v>41</v>
      </c>
      <c r="G22" s="15" t="n">
        <v>75</v>
      </c>
      <c r="H22" s="16" t="n">
        <f aca="false">E22*G22</f>
        <v>150</v>
      </c>
    </row>
    <row r="23" customFormat="false" ht="15" hidden="false" customHeight="false" outlineLevel="0" collapsed="false">
      <c r="A23" s="17"/>
      <c r="B23" s="17"/>
      <c r="C23" s="17"/>
      <c r="D23" s="18" t="s">
        <v>81</v>
      </c>
      <c r="E23" s="17"/>
      <c r="F23" s="17"/>
      <c r="G23" s="17"/>
      <c r="H23" s="19" t="n">
        <f aca="false">SUM(H6:H22)</f>
        <v>47950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56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3" customFormat="false" ht="15" hidden="false" customHeight="false" outlineLevel="0" collapsed="false">
      <c r="A3" s="2" t="s">
        <v>29</v>
      </c>
    </row>
    <row r="5" customFormat="false" ht="15" hidden="false" customHeight="false" outlineLevel="0" collapsed="false">
      <c r="A5" s="11" t="s">
        <v>30</v>
      </c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 t="s">
        <v>36</v>
      </c>
      <c r="H5" s="11" t="s">
        <v>37</v>
      </c>
    </row>
    <row r="6" customFormat="false" ht="23.85" hidden="false" customHeight="false" outlineLevel="0" collapsed="false">
      <c r="A6" s="5" t="n">
        <v>1</v>
      </c>
      <c r="B6" s="4" t="s">
        <v>38</v>
      </c>
      <c r="C6" s="5" t="s">
        <v>39</v>
      </c>
      <c r="D6" s="12" t="s">
        <v>84</v>
      </c>
      <c r="E6" s="13" t="n">
        <v>1</v>
      </c>
      <c r="F6" s="14" t="s">
        <v>41</v>
      </c>
      <c r="G6" s="15" t="n">
        <v>9500</v>
      </c>
      <c r="H6" s="16" t="n">
        <f aca="false">E6*G6</f>
        <v>9500</v>
      </c>
    </row>
    <row r="7" customFormat="false" ht="15" hidden="false" customHeight="false" outlineLevel="0" collapsed="false">
      <c r="A7" s="5" t="n">
        <v>2</v>
      </c>
      <c r="B7" s="5" t="s">
        <v>38</v>
      </c>
      <c r="C7" s="5" t="s">
        <v>85</v>
      </c>
      <c r="D7" s="12" t="s">
        <v>86</v>
      </c>
      <c r="E7" s="13" t="n">
        <v>2</v>
      </c>
      <c r="F7" s="14" t="s">
        <v>41</v>
      </c>
      <c r="G7" s="15" t="n">
        <v>3000</v>
      </c>
      <c r="H7" s="16" t="n">
        <f aca="false">E7*G7</f>
        <v>6000</v>
      </c>
    </row>
    <row r="8" customFormat="false" ht="15" hidden="false" customHeight="false" outlineLevel="0" collapsed="false">
      <c r="A8" s="5" t="n">
        <v>3</v>
      </c>
      <c r="B8" s="5" t="s">
        <v>38</v>
      </c>
      <c r="C8" s="5" t="s">
        <v>87</v>
      </c>
      <c r="D8" s="12" t="s">
        <v>88</v>
      </c>
      <c r="E8" s="13" t="n">
        <v>16</v>
      </c>
      <c r="F8" s="14" t="s">
        <v>41</v>
      </c>
      <c r="G8" s="15" t="n">
        <v>220</v>
      </c>
      <c r="H8" s="16" t="n">
        <f aca="false">E8*G8</f>
        <v>3520</v>
      </c>
    </row>
    <row r="9" customFormat="false" ht="15" hidden="false" customHeight="false" outlineLevel="0" collapsed="false">
      <c r="A9" s="5" t="n">
        <v>4</v>
      </c>
      <c r="B9" s="5" t="s">
        <v>38</v>
      </c>
      <c r="C9" s="5" t="s">
        <v>46</v>
      </c>
      <c r="D9" s="12" t="s">
        <v>47</v>
      </c>
      <c r="E9" s="13" t="n">
        <v>2</v>
      </c>
      <c r="F9" s="14" t="s">
        <v>41</v>
      </c>
      <c r="G9" s="15" t="n">
        <v>9000</v>
      </c>
      <c r="H9" s="16" t="n">
        <f aca="false">E9*G9</f>
        <v>18000</v>
      </c>
    </row>
    <row r="10" customFormat="false" ht="15" hidden="false" customHeight="false" outlineLevel="0" collapsed="false">
      <c r="A10" s="5" t="n">
        <v>5</v>
      </c>
      <c r="B10" s="5" t="s">
        <v>38</v>
      </c>
      <c r="C10" s="5" t="s">
        <v>48</v>
      </c>
      <c r="D10" s="12" t="s">
        <v>49</v>
      </c>
      <c r="E10" s="13" t="n">
        <v>2</v>
      </c>
      <c r="F10" s="14" t="s">
        <v>41</v>
      </c>
      <c r="G10" s="15" t="n">
        <v>350</v>
      </c>
      <c r="H10" s="16" t="n">
        <f aca="false">E10*G10</f>
        <v>700</v>
      </c>
    </row>
    <row r="11" customFormat="false" ht="15" hidden="false" customHeight="false" outlineLevel="0" collapsed="false">
      <c r="A11" s="5" t="n">
        <v>6</v>
      </c>
      <c r="B11" s="5" t="s">
        <v>38</v>
      </c>
      <c r="C11" s="5" t="s">
        <v>89</v>
      </c>
      <c r="D11" s="12" t="s">
        <v>90</v>
      </c>
      <c r="E11" s="13" t="n">
        <v>4</v>
      </c>
      <c r="F11" s="14" t="s">
        <v>41</v>
      </c>
      <c r="G11" s="15" t="n">
        <v>900</v>
      </c>
      <c r="H11" s="16" t="n">
        <f aca="false">E11*G11</f>
        <v>3600</v>
      </c>
    </row>
    <row r="12" customFormat="false" ht="15" hidden="false" customHeight="false" outlineLevel="0" collapsed="false">
      <c r="A12" s="5" t="n">
        <v>7</v>
      </c>
      <c r="B12" s="5" t="s">
        <v>38</v>
      </c>
      <c r="C12" s="5" t="s">
        <v>52</v>
      </c>
      <c r="D12" s="12" t="s">
        <v>53</v>
      </c>
      <c r="E12" s="13" t="n">
        <v>1</v>
      </c>
      <c r="F12" s="14" t="s">
        <v>41</v>
      </c>
      <c r="G12" s="15" t="n">
        <v>600</v>
      </c>
      <c r="H12" s="16" t="n">
        <f aca="false">E12*G12</f>
        <v>600</v>
      </c>
    </row>
    <row r="13" customFormat="false" ht="23.85" hidden="false" customHeight="false" outlineLevel="0" collapsed="false">
      <c r="A13" s="5" t="n">
        <v>8</v>
      </c>
      <c r="B13" s="4" t="s">
        <v>54</v>
      </c>
      <c r="C13" s="5" t="s">
        <v>55</v>
      </c>
      <c r="D13" s="12" t="s">
        <v>91</v>
      </c>
      <c r="E13" s="13" t="n">
        <v>1</v>
      </c>
      <c r="F13" s="14" t="s">
        <v>41</v>
      </c>
      <c r="G13" s="15" t="n">
        <v>8000</v>
      </c>
      <c r="H13" s="16" t="n">
        <f aca="false">E13*G13</f>
        <v>8000</v>
      </c>
    </row>
    <row r="14" customFormat="false" ht="23.85" hidden="false" customHeight="false" outlineLevel="0" collapsed="false">
      <c r="A14" s="5" t="n">
        <v>9</v>
      </c>
      <c r="B14" s="4" t="s">
        <v>57</v>
      </c>
      <c r="C14" s="5" t="s">
        <v>58</v>
      </c>
      <c r="D14" s="12" t="s">
        <v>92</v>
      </c>
      <c r="E14" s="13" t="n">
        <v>1</v>
      </c>
      <c r="F14" s="14" t="s">
        <v>41</v>
      </c>
      <c r="G14" s="15" t="n">
        <v>15000</v>
      </c>
      <c r="H14" s="16" t="n">
        <f aca="false">E14*G14</f>
        <v>15000</v>
      </c>
    </row>
    <row r="15" customFormat="false" ht="15" hidden="false" customHeight="false" outlineLevel="0" collapsed="false">
      <c r="A15" s="5" t="n">
        <v>10</v>
      </c>
      <c r="B15" s="4" t="s">
        <v>60</v>
      </c>
      <c r="C15" s="5" t="s">
        <v>61</v>
      </c>
      <c r="D15" s="12" t="s">
        <v>62</v>
      </c>
      <c r="E15" s="13" t="n">
        <v>1</v>
      </c>
      <c r="F15" s="14" t="s">
        <v>41</v>
      </c>
      <c r="G15" s="15" t="n">
        <v>1200</v>
      </c>
      <c r="H15" s="16" t="n">
        <f aca="false">E15*G15</f>
        <v>1200</v>
      </c>
    </row>
    <row r="16" customFormat="false" ht="23.85" hidden="false" customHeight="false" outlineLevel="0" collapsed="false">
      <c r="A16" s="5" t="n">
        <v>11</v>
      </c>
      <c r="B16" s="5" t="s">
        <v>60</v>
      </c>
      <c r="C16" s="5" t="s">
        <v>93</v>
      </c>
      <c r="D16" s="12" t="s">
        <v>94</v>
      </c>
      <c r="E16" s="13" t="n">
        <v>1</v>
      </c>
      <c r="F16" s="14" t="s">
        <v>41</v>
      </c>
      <c r="G16" s="15" t="n">
        <v>3500</v>
      </c>
      <c r="H16" s="16" t="n">
        <f aca="false">E16*G16</f>
        <v>3500</v>
      </c>
    </row>
    <row r="17" customFormat="false" ht="15" hidden="false" customHeight="false" outlineLevel="0" collapsed="false">
      <c r="A17" s="5" t="n">
        <v>12</v>
      </c>
      <c r="B17" s="4" t="s">
        <v>63</v>
      </c>
      <c r="C17" s="5" t="s">
        <v>64</v>
      </c>
      <c r="D17" s="12" t="s">
        <v>95</v>
      </c>
      <c r="E17" s="13" t="n">
        <v>1</v>
      </c>
      <c r="F17" s="14" t="s">
        <v>41</v>
      </c>
      <c r="G17" s="15" t="n">
        <v>4500</v>
      </c>
      <c r="H17" s="16" t="n">
        <f aca="false">E17*G17</f>
        <v>4500</v>
      </c>
    </row>
    <row r="18" customFormat="false" ht="15" hidden="false" customHeight="false" outlineLevel="0" collapsed="false">
      <c r="A18" s="5" t="n">
        <v>13</v>
      </c>
      <c r="B18" s="5" t="s">
        <v>63</v>
      </c>
      <c r="C18" s="5" t="s">
        <v>96</v>
      </c>
      <c r="D18" s="12" t="s">
        <v>67</v>
      </c>
      <c r="E18" s="13" t="n">
        <v>2</v>
      </c>
      <c r="F18" s="14" t="s">
        <v>41</v>
      </c>
      <c r="G18" s="15" t="n">
        <v>1200</v>
      </c>
      <c r="H18" s="16" t="n">
        <f aca="false">E18*G18</f>
        <v>2400</v>
      </c>
    </row>
    <row r="19" customFormat="false" ht="23.85" hidden="false" customHeight="false" outlineLevel="0" collapsed="false">
      <c r="A19" s="5" t="n">
        <v>14</v>
      </c>
      <c r="B19" s="4" t="s">
        <v>68</v>
      </c>
      <c r="C19" s="5" t="s">
        <v>97</v>
      </c>
      <c r="D19" s="12" t="s">
        <v>98</v>
      </c>
      <c r="E19" s="13" t="n">
        <v>1</v>
      </c>
      <c r="F19" s="14" t="s">
        <v>41</v>
      </c>
      <c r="G19" s="15" t="n">
        <v>1800</v>
      </c>
      <c r="H19" s="16" t="n">
        <f aca="false">E19*G19</f>
        <v>1800</v>
      </c>
    </row>
    <row r="20" customFormat="false" ht="23.85" hidden="false" customHeight="false" outlineLevel="0" collapsed="false">
      <c r="A20" s="5" t="n">
        <v>15</v>
      </c>
      <c r="B20" s="5" t="s">
        <v>68</v>
      </c>
      <c r="C20" s="5" t="s">
        <v>69</v>
      </c>
      <c r="D20" s="12" t="s">
        <v>99</v>
      </c>
      <c r="E20" s="13" t="n">
        <v>1</v>
      </c>
      <c r="F20" s="14" t="s">
        <v>71</v>
      </c>
      <c r="G20" s="15" t="n">
        <v>500</v>
      </c>
      <c r="H20" s="16" t="n">
        <f aca="false">E20*G20</f>
        <v>500</v>
      </c>
    </row>
    <row r="21" customFormat="false" ht="15" hidden="false" customHeight="false" outlineLevel="0" collapsed="false">
      <c r="A21" s="5" t="n">
        <v>16</v>
      </c>
      <c r="B21" s="4" t="s">
        <v>72</v>
      </c>
      <c r="C21" s="5" t="s">
        <v>73</v>
      </c>
      <c r="D21" s="12" t="s">
        <v>100</v>
      </c>
      <c r="E21" s="13" t="n">
        <v>8</v>
      </c>
      <c r="F21" s="14" t="s">
        <v>41</v>
      </c>
      <c r="G21" s="15" t="n">
        <v>60</v>
      </c>
      <c r="H21" s="16" t="n">
        <f aca="false">E21*G21</f>
        <v>480</v>
      </c>
    </row>
    <row r="22" customFormat="false" ht="15" hidden="false" customHeight="false" outlineLevel="0" collapsed="false">
      <c r="A22" s="5" t="n">
        <v>17</v>
      </c>
      <c r="B22" s="5" t="s">
        <v>72</v>
      </c>
      <c r="C22" s="5" t="s">
        <v>101</v>
      </c>
      <c r="D22" s="12" t="s">
        <v>102</v>
      </c>
      <c r="E22" s="13" t="n">
        <v>2</v>
      </c>
      <c r="F22" s="14" t="s">
        <v>41</v>
      </c>
      <c r="G22" s="15" t="n">
        <v>200</v>
      </c>
      <c r="H22" s="16" t="n">
        <f aca="false">E22*G22</f>
        <v>400</v>
      </c>
    </row>
    <row r="23" customFormat="false" ht="15" hidden="false" customHeight="false" outlineLevel="0" collapsed="false">
      <c r="A23" s="5" t="n">
        <v>18</v>
      </c>
      <c r="B23" s="5" t="s">
        <v>72</v>
      </c>
      <c r="C23" s="5" t="s">
        <v>75</v>
      </c>
      <c r="D23" s="12" t="s">
        <v>76</v>
      </c>
      <c r="E23" s="13" t="n">
        <v>12</v>
      </c>
      <c r="F23" s="14" t="s">
        <v>41</v>
      </c>
      <c r="G23" s="15" t="n">
        <v>10</v>
      </c>
      <c r="H23" s="16" t="n">
        <f aca="false">E23*G23</f>
        <v>120</v>
      </c>
    </row>
    <row r="24" customFormat="false" ht="15" hidden="false" customHeight="false" outlineLevel="0" collapsed="false">
      <c r="A24" s="5" t="n">
        <v>19</v>
      </c>
      <c r="B24" s="5" t="s">
        <v>72</v>
      </c>
      <c r="C24" s="5" t="s">
        <v>77</v>
      </c>
      <c r="D24" s="12" t="s">
        <v>103</v>
      </c>
      <c r="E24" s="13" t="n">
        <v>10</v>
      </c>
      <c r="F24" s="14" t="s">
        <v>41</v>
      </c>
      <c r="G24" s="15" t="n">
        <v>15</v>
      </c>
      <c r="H24" s="16" t="n">
        <f aca="false">E24*G24</f>
        <v>150</v>
      </c>
    </row>
    <row r="25" customFormat="false" ht="15" hidden="false" customHeight="false" outlineLevel="0" collapsed="false">
      <c r="A25" s="5" t="n">
        <v>20</v>
      </c>
      <c r="B25" s="5" t="s">
        <v>72</v>
      </c>
      <c r="C25" s="5" t="s">
        <v>79</v>
      </c>
      <c r="D25" s="12" t="s">
        <v>80</v>
      </c>
      <c r="E25" s="13" t="n">
        <v>4</v>
      </c>
      <c r="F25" s="14" t="s">
        <v>41</v>
      </c>
      <c r="G25" s="15" t="n">
        <v>75</v>
      </c>
      <c r="H25" s="16" t="n">
        <f aca="false">E25*G25</f>
        <v>300</v>
      </c>
    </row>
    <row r="26" customFormat="false" ht="15" hidden="false" customHeight="false" outlineLevel="0" collapsed="false">
      <c r="A26" s="17"/>
      <c r="B26" s="17"/>
      <c r="C26" s="17"/>
      <c r="D26" s="18" t="s">
        <v>81</v>
      </c>
      <c r="E26" s="17"/>
      <c r="F26" s="17"/>
      <c r="G26" s="17"/>
      <c r="H26" s="19" t="n">
        <f aca="false">SUM(H6:H25)</f>
        <v>80270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56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3" customFormat="false" ht="15" hidden="false" customHeight="false" outlineLevel="0" collapsed="false">
      <c r="A3" s="2" t="s">
        <v>29</v>
      </c>
    </row>
    <row r="5" customFormat="false" ht="15" hidden="false" customHeight="false" outlineLevel="0" collapsed="false">
      <c r="A5" s="11" t="s">
        <v>30</v>
      </c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 t="s">
        <v>36</v>
      </c>
      <c r="H5" s="11" t="s">
        <v>37</v>
      </c>
    </row>
    <row r="6" customFormat="false" ht="15" hidden="false" customHeight="false" outlineLevel="0" collapsed="false">
      <c r="A6" s="5" t="n">
        <v>1</v>
      </c>
      <c r="B6" s="4" t="s">
        <v>106</v>
      </c>
      <c r="C6" s="5" t="s">
        <v>39</v>
      </c>
      <c r="D6" s="12" t="s">
        <v>107</v>
      </c>
      <c r="E6" s="13" t="n">
        <v>2</v>
      </c>
      <c r="F6" s="14" t="s">
        <v>41</v>
      </c>
      <c r="G6" s="15" t="n">
        <v>12000</v>
      </c>
      <c r="H6" s="16" t="n">
        <f aca="false">E6*G6</f>
        <v>24000</v>
      </c>
    </row>
    <row r="7" customFormat="false" ht="15" hidden="false" customHeight="false" outlineLevel="0" collapsed="false">
      <c r="A7" s="5" t="n">
        <v>2</v>
      </c>
      <c r="B7" s="5" t="s">
        <v>106</v>
      </c>
      <c r="C7" s="5" t="s">
        <v>85</v>
      </c>
      <c r="D7" s="12" t="s">
        <v>108</v>
      </c>
      <c r="E7" s="13" t="n">
        <v>4</v>
      </c>
      <c r="F7" s="14" t="s">
        <v>41</v>
      </c>
      <c r="G7" s="15" t="n">
        <v>3500</v>
      </c>
      <c r="H7" s="16" t="n">
        <f aca="false">E7*G7</f>
        <v>14000</v>
      </c>
    </row>
    <row r="8" customFormat="false" ht="15" hidden="false" customHeight="false" outlineLevel="0" collapsed="false">
      <c r="A8" s="5" t="n">
        <v>3</v>
      </c>
      <c r="B8" s="5" t="s">
        <v>106</v>
      </c>
      <c r="C8" s="5" t="s">
        <v>109</v>
      </c>
      <c r="D8" s="12" t="s">
        <v>110</v>
      </c>
      <c r="E8" s="13" t="n">
        <v>48</v>
      </c>
      <c r="F8" s="14" t="s">
        <v>41</v>
      </c>
      <c r="G8" s="15" t="n">
        <v>220</v>
      </c>
      <c r="H8" s="16" t="n">
        <f aca="false">E8*G8</f>
        <v>10560</v>
      </c>
    </row>
    <row r="9" customFormat="false" ht="23.85" hidden="false" customHeight="false" outlineLevel="0" collapsed="false">
      <c r="A9" s="5" t="n">
        <v>4</v>
      </c>
      <c r="B9" s="5" t="s">
        <v>106</v>
      </c>
      <c r="C9" s="5" t="s">
        <v>46</v>
      </c>
      <c r="D9" s="12" t="s">
        <v>111</v>
      </c>
      <c r="E9" s="13" t="n">
        <v>8</v>
      </c>
      <c r="F9" s="14" t="s">
        <v>41</v>
      </c>
      <c r="G9" s="15" t="n">
        <v>9000</v>
      </c>
      <c r="H9" s="16" t="n">
        <f aca="false">E9*G9</f>
        <v>72000</v>
      </c>
    </row>
    <row r="10" customFormat="false" ht="15" hidden="false" customHeight="false" outlineLevel="0" collapsed="false">
      <c r="A10" s="5" t="n">
        <v>5</v>
      </c>
      <c r="B10" s="5" t="s">
        <v>106</v>
      </c>
      <c r="C10" s="5" t="s">
        <v>48</v>
      </c>
      <c r="D10" s="12" t="s">
        <v>112</v>
      </c>
      <c r="E10" s="13" t="n">
        <v>4</v>
      </c>
      <c r="F10" s="14" t="s">
        <v>41</v>
      </c>
      <c r="G10" s="15" t="n">
        <v>350</v>
      </c>
      <c r="H10" s="16" t="n">
        <f aca="false">E10*G10</f>
        <v>1400</v>
      </c>
    </row>
    <row r="11" customFormat="false" ht="15" hidden="false" customHeight="false" outlineLevel="0" collapsed="false">
      <c r="A11" s="5" t="n">
        <v>6</v>
      </c>
      <c r="B11" s="5" t="s">
        <v>106</v>
      </c>
      <c r="C11" s="5" t="s">
        <v>89</v>
      </c>
      <c r="D11" s="12" t="s">
        <v>113</v>
      </c>
      <c r="E11" s="13" t="n">
        <v>8</v>
      </c>
      <c r="F11" s="14" t="s">
        <v>41</v>
      </c>
      <c r="G11" s="15" t="n">
        <v>900</v>
      </c>
      <c r="H11" s="16" t="n">
        <f aca="false">E11*G11</f>
        <v>7200</v>
      </c>
    </row>
    <row r="12" customFormat="false" ht="15" hidden="false" customHeight="false" outlineLevel="0" collapsed="false">
      <c r="A12" s="5" t="n">
        <v>7</v>
      </c>
      <c r="B12" s="5" t="s">
        <v>106</v>
      </c>
      <c r="C12" s="5" t="s">
        <v>114</v>
      </c>
      <c r="D12" s="12" t="s">
        <v>115</v>
      </c>
      <c r="E12" s="13" t="n">
        <v>2</v>
      </c>
      <c r="F12" s="14" t="s">
        <v>41</v>
      </c>
      <c r="G12" s="15" t="n">
        <v>1500</v>
      </c>
      <c r="H12" s="16" t="n">
        <f aca="false">E12*G12</f>
        <v>3000</v>
      </c>
    </row>
    <row r="13" customFormat="false" ht="15" hidden="false" customHeight="false" outlineLevel="0" collapsed="false">
      <c r="A13" s="5" t="n">
        <v>8</v>
      </c>
      <c r="B13" s="4" t="s">
        <v>54</v>
      </c>
      <c r="C13" s="5" t="s">
        <v>116</v>
      </c>
      <c r="D13" s="12" t="s">
        <v>117</v>
      </c>
      <c r="E13" s="13" t="n">
        <v>2</v>
      </c>
      <c r="F13" s="14" t="s">
        <v>41</v>
      </c>
      <c r="G13" s="15" t="n">
        <v>18000</v>
      </c>
      <c r="H13" s="16" t="n">
        <f aca="false">E13*G13</f>
        <v>36000</v>
      </c>
    </row>
    <row r="14" customFormat="false" ht="23.85" hidden="false" customHeight="false" outlineLevel="0" collapsed="false">
      <c r="A14" s="5" t="n">
        <v>9</v>
      </c>
      <c r="B14" s="4" t="s">
        <v>57</v>
      </c>
      <c r="C14" s="5" t="s">
        <v>118</v>
      </c>
      <c r="D14" s="12" t="s">
        <v>119</v>
      </c>
      <c r="E14" s="13" t="n">
        <v>2</v>
      </c>
      <c r="F14" s="14" t="s">
        <v>41</v>
      </c>
      <c r="G14" s="15" t="n">
        <v>18000</v>
      </c>
      <c r="H14" s="16" t="n">
        <f aca="false">E14*G14</f>
        <v>36000</v>
      </c>
    </row>
    <row r="15" customFormat="false" ht="23.85" hidden="false" customHeight="false" outlineLevel="0" collapsed="false">
      <c r="A15" s="5" t="n">
        <v>10</v>
      </c>
      <c r="B15" s="4" t="s">
        <v>120</v>
      </c>
      <c r="C15" s="5" t="s">
        <v>121</v>
      </c>
      <c r="D15" s="12" t="s">
        <v>122</v>
      </c>
      <c r="E15" s="13" t="n">
        <v>1</v>
      </c>
      <c r="F15" s="14" t="s">
        <v>41</v>
      </c>
      <c r="G15" s="15" t="n">
        <v>35000</v>
      </c>
      <c r="H15" s="16" t="n">
        <f aca="false">E15*G15</f>
        <v>35000</v>
      </c>
    </row>
    <row r="16" customFormat="false" ht="15" hidden="false" customHeight="false" outlineLevel="0" collapsed="false">
      <c r="A16" s="5" t="n">
        <v>11</v>
      </c>
      <c r="B16" s="5" t="s">
        <v>120</v>
      </c>
      <c r="C16" s="5" t="s">
        <v>123</v>
      </c>
      <c r="D16" s="12" t="s">
        <v>124</v>
      </c>
      <c r="E16" s="13" t="n">
        <v>1</v>
      </c>
      <c r="F16" s="14" t="s">
        <v>41</v>
      </c>
      <c r="G16" s="15" t="n">
        <v>15000</v>
      </c>
      <c r="H16" s="16" t="n">
        <f aca="false">E16*G16</f>
        <v>15000</v>
      </c>
    </row>
    <row r="17" customFormat="false" ht="15" hidden="false" customHeight="false" outlineLevel="0" collapsed="false">
      <c r="A17" s="5" t="n">
        <v>12</v>
      </c>
      <c r="B17" s="4" t="s">
        <v>60</v>
      </c>
      <c r="C17" s="5" t="s">
        <v>61</v>
      </c>
      <c r="D17" s="12" t="s">
        <v>125</v>
      </c>
      <c r="E17" s="13" t="n">
        <v>1</v>
      </c>
      <c r="F17" s="14" t="s">
        <v>41</v>
      </c>
      <c r="G17" s="15" t="n">
        <v>2000</v>
      </c>
      <c r="H17" s="16" t="n">
        <f aca="false">E17*G17</f>
        <v>2000</v>
      </c>
    </row>
    <row r="18" customFormat="false" ht="15" hidden="false" customHeight="false" outlineLevel="0" collapsed="false">
      <c r="A18" s="5" t="n">
        <v>13</v>
      </c>
      <c r="B18" s="5" t="s">
        <v>60</v>
      </c>
      <c r="C18" s="5" t="s">
        <v>126</v>
      </c>
      <c r="D18" s="12" t="s">
        <v>127</v>
      </c>
      <c r="E18" s="13" t="n">
        <v>1</v>
      </c>
      <c r="F18" s="14" t="s">
        <v>41</v>
      </c>
      <c r="G18" s="15" t="n">
        <v>5000</v>
      </c>
      <c r="H18" s="16" t="n">
        <f aca="false">E18*G18</f>
        <v>5000</v>
      </c>
    </row>
    <row r="19" customFormat="false" ht="15" hidden="false" customHeight="false" outlineLevel="0" collapsed="false">
      <c r="A19" s="5" t="n">
        <v>14</v>
      </c>
      <c r="B19" s="4" t="s">
        <v>63</v>
      </c>
      <c r="C19" s="5" t="s">
        <v>64</v>
      </c>
      <c r="D19" s="12" t="s">
        <v>128</v>
      </c>
      <c r="E19" s="13" t="n">
        <v>1</v>
      </c>
      <c r="F19" s="14" t="s">
        <v>41</v>
      </c>
      <c r="G19" s="15" t="n">
        <v>8000</v>
      </c>
      <c r="H19" s="16" t="n">
        <f aca="false">E19*G19</f>
        <v>8000</v>
      </c>
    </row>
    <row r="20" customFormat="false" ht="15" hidden="false" customHeight="false" outlineLevel="0" collapsed="false">
      <c r="A20" s="5" t="n">
        <v>15</v>
      </c>
      <c r="B20" s="5" t="s">
        <v>63</v>
      </c>
      <c r="C20" s="5" t="s">
        <v>96</v>
      </c>
      <c r="D20" s="12" t="s">
        <v>129</v>
      </c>
      <c r="E20" s="13" t="n">
        <v>2</v>
      </c>
      <c r="F20" s="14" t="s">
        <v>41</v>
      </c>
      <c r="G20" s="15" t="n">
        <v>1500</v>
      </c>
      <c r="H20" s="16" t="n">
        <f aca="false">E20*G20</f>
        <v>3000</v>
      </c>
    </row>
    <row r="21" customFormat="false" ht="15" hidden="false" customHeight="false" outlineLevel="0" collapsed="false">
      <c r="A21" s="5" t="n">
        <v>16</v>
      </c>
      <c r="B21" s="4" t="s">
        <v>68</v>
      </c>
      <c r="C21" s="5" t="s">
        <v>97</v>
      </c>
      <c r="D21" s="12" t="s">
        <v>130</v>
      </c>
      <c r="E21" s="13" t="n">
        <v>1</v>
      </c>
      <c r="F21" s="14" t="s">
        <v>41</v>
      </c>
      <c r="G21" s="15" t="n">
        <v>1800</v>
      </c>
      <c r="H21" s="16" t="n">
        <f aca="false">E21*G21</f>
        <v>1800</v>
      </c>
    </row>
    <row r="22" customFormat="false" ht="15" hidden="false" customHeight="false" outlineLevel="0" collapsed="false">
      <c r="A22" s="5" t="n">
        <v>17</v>
      </c>
      <c r="B22" s="5" t="s">
        <v>68</v>
      </c>
      <c r="C22" s="5" t="s">
        <v>69</v>
      </c>
      <c r="D22" s="12" t="s">
        <v>131</v>
      </c>
      <c r="E22" s="13" t="n">
        <v>1</v>
      </c>
      <c r="F22" s="14" t="s">
        <v>71</v>
      </c>
      <c r="G22" s="15" t="n">
        <v>700</v>
      </c>
      <c r="H22" s="16" t="n">
        <f aca="false">E22*G22</f>
        <v>700</v>
      </c>
    </row>
    <row r="23" customFormat="false" ht="15" hidden="false" customHeight="false" outlineLevel="0" collapsed="false">
      <c r="A23" s="5" t="n">
        <v>18</v>
      </c>
      <c r="B23" s="4" t="s">
        <v>72</v>
      </c>
      <c r="C23" s="5" t="s">
        <v>132</v>
      </c>
      <c r="D23" s="12" t="s">
        <v>133</v>
      </c>
      <c r="E23" s="13" t="n">
        <v>8</v>
      </c>
      <c r="F23" s="14" t="s">
        <v>41</v>
      </c>
      <c r="G23" s="15" t="n">
        <v>150</v>
      </c>
      <c r="H23" s="16" t="n">
        <f aca="false">E23*G23</f>
        <v>1200</v>
      </c>
    </row>
    <row r="24" customFormat="false" ht="15" hidden="false" customHeight="false" outlineLevel="0" collapsed="false">
      <c r="A24" s="5" t="n">
        <v>19</v>
      </c>
      <c r="B24" s="5" t="s">
        <v>72</v>
      </c>
      <c r="C24" s="5" t="s">
        <v>134</v>
      </c>
      <c r="D24" s="12" t="s">
        <v>135</v>
      </c>
      <c r="E24" s="13" t="n">
        <v>6</v>
      </c>
      <c r="F24" s="14" t="s">
        <v>41</v>
      </c>
      <c r="G24" s="15" t="n">
        <v>250</v>
      </c>
      <c r="H24" s="16" t="n">
        <f aca="false">E24*G24</f>
        <v>1500</v>
      </c>
    </row>
    <row r="25" customFormat="false" ht="15" hidden="false" customHeight="false" outlineLevel="0" collapsed="false">
      <c r="A25" s="5" t="n">
        <v>20</v>
      </c>
      <c r="B25" s="5" t="s">
        <v>72</v>
      </c>
      <c r="C25" s="5" t="s">
        <v>75</v>
      </c>
      <c r="D25" s="12" t="s">
        <v>76</v>
      </c>
      <c r="E25" s="13" t="n">
        <v>20</v>
      </c>
      <c r="F25" s="14" t="s">
        <v>41</v>
      </c>
      <c r="G25" s="15" t="n">
        <v>10</v>
      </c>
      <c r="H25" s="16" t="n">
        <f aca="false">E25*G25</f>
        <v>200</v>
      </c>
    </row>
    <row r="26" customFormat="false" ht="15" hidden="false" customHeight="false" outlineLevel="0" collapsed="false">
      <c r="A26" s="5" t="n">
        <v>21</v>
      </c>
      <c r="B26" s="5" t="s">
        <v>72</v>
      </c>
      <c r="C26" s="5" t="s">
        <v>77</v>
      </c>
      <c r="D26" s="12" t="s">
        <v>136</v>
      </c>
      <c r="E26" s="13" t="n">
        <v>16</v>
      </c>
      <c r="F26" s="14" t="s">
        <v>41</v>
      </c>
      <c r="G26" s="15" t="n">
        <v>15</v>
      </c>
      <c r="H26" s="16" t="n">
        <f aca="false">E26*G26</f>
        <v>240</v>
      </c>
    </row>
    <row r="27" customFormat="false" ht="15" hidden="false" customHeight="false" outlineLevel="0" collapsed="false">
      <c r="A27" s="5" t="n">
        <v>22</v>
      </c>
      <c r="B27" s="5" t="s">
        <v>72</v>
      </c>
      <c r="C27" s="5" t="s">
        <v>79</v>
      </c>
      <c r="D27" s="12" t="s">
        <v>80</v>
      </c>
      <c r="E27" s="13" t="n">
        <v>6</v>
      </c>
      <c r="F27" s="14" t="s">
        <v>41</v>
      </c>
      <c r="G27" s="15" t="n">
        <v>100</v>
      </c>
      <c r="H27" s="16" t="n">
        <f aca="false">E27*G27</f>
        <v>600</v>
      </c>
    </row>
    <row r="28" customFormat="false" ht="15" hidden="false" customHeight="false" outlineLevel="0" collapsed="false">
      <c r="A28" s="17"/>
      <c r="B28" s="17"/>
      <c r="C28" s="17"/>
      <c r="D28" s="18" t="s">
        <v>81</v>
      </c>
      <c r="E28" s="17"/>
      <c r="F28" s="17"/>
      <c r="G28" s="17"/>
      <c r="H28" s="19" t="n">
        <f aca="false">SUM(H6:H27)</f>
        <v>278400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2026-07-13T16:50:13Z</dcterms:created>
  <dc:creator>openpyxl</dc:creator>
  <dc:description/>
  <dc:language>en-US</dc:language>
  <cp:lastModifiedBy/>
  <dcterms:modified xsi:type="dcterms:W3CDTF">2026-07-13T16:50:13Z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